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_Sources" sheetId="1" state="visible" r:id="rId1"/>
    <sheet xmlns:r="http://schemas.openxmlformats.org/officeDocument/2006/relationships" name="UAE_Federal_Pop" sheetId="2" state="visible" r:id="rId2"/>
    <sheet xmlns:r="http://schemas.openxmlformats.org/officeDocument/2006/relationships" name="Pop_by_Emirate" sheetId="3" state="visible" r:id="rId3"/>
    <sheet xmlns:r="http://schemas.openxmlformats.org/officeDocument/2006/relationships" name="Migrant_Stock_Priors" sheetId="4" state="visible" r:id="rId4"/>
    <sheet xmlns:r="http://schemas.openxmlformats.org/officeDocument/2006/relationships" name="LFS_Labour_Force" sheetId="5" state="visible" r:id="rId5"/>
    <sheet xmlns:r="http://schemas.openxmlformats.org/officeDocument/2006/relationships" name="Nationality_Comp" sheetId="6" state="visible" r:id="rId6"/>
    <sheet xmlns:r="http://schemas.openxmlformats.org/officeDocument/2006/relationships" name="FB_Penetration" sheetId="7" state="visible" r:id="rId7"/>
    <sheet xmlns:r="http://schemas.openxmlformats.org/officeDocument/2006/relationships" name="World_Bank_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"/>
    <numFmt numFmtId="166" formatCode="#,##0.00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404040"/>
      <sz val="10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FFFFFF"/>
      <sz val="13"/>
    </font>
    <font>
      <name val="Arial"/>
      <i val="1"/>
      <color rgb="00404040"/>
      <sz val="8"/>
    </font>
    <font>
      <name val="Arial"/>
      <b val="1"/>
      <color rgb="00000000"/>
      <sz val="9"/>
    </font>
    <font>
      <name val="Arial"/>
      <i val="1"/>
      <sz val="8"/>
    </font>
    <font>
      <name val="Arial"/>
      <b val="1"/>
      <color rgb="00FFFFFF"/>
      <sz val="11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D9E2F3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AF0FB"/>
      </patternFill>
    </fill>
    <fill>
      <patternFill patternType="solid">
        <fgColor rgb="00F4ECFF"/>
      </patternFill>
    </fill>
    <fill>
      <patternFill patternType="solid">
        <fgColor rgb="00FDEBD0"/>
      </patternFill>
    </fill>
    <fill>
      <patternFill patternType="solid">
        <fgColor rgb="002E75B6"/>
      </patternFill>
    </fill>
    <fill>
      <patternFill patternType="solid">
        <fgColor rgb="00FEF9E7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wrapText="1"/>
    </xf>
    <xf numFmtId="1" fontId="7" fillId="5" borderId="2" applyAlignment="1" pivotButton="0" quotePrefix="0" xfId="0">
      <alignment horizontal="center" vertical="center"/>
    </xf>
    <xf numFmtId="3" fontId="4" fillId="5" borderId="2" applyAlignment="1" pivotButton="0" quotePrefix="0" xfId="0">
      <alignment horizontal="center" vertical="center"/>
    </xf>
    <xf numFmtId="164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 wrapText="1"/>
    </xf>
    <xf numFmtId="1" fontId="7" fillId="4" borderId="2" applyAlignment="1" pivotButton="0" quotePrefix="0" xfId="0">
      <alignment horizontal="center" vertical="center"/>
    </xf>
    <xf numFmtId="3" fontId="4" fillId="4" borderId="2" applyAlignment="1" pivotButton="0" quotePrefix="0" xfId="0">
      <alignment horizontal="center" vertical="center"/>
    </xf>
    <xf numFmtId="164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/>
    </xf>
    <xf numFmtId="3" fontId="7" fillId="7" borderId="2" applyAlignment="1" pivotButton="0" quotePrefix="0" xfId="0">
      <alignment horizontal="center" vertical="center"/>
    </xf>
    <xf numFmtId="164" fontId="7" fillId="7" borderId="2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/>
    </xf>
    <xf numFmtId="0" fontId="7" fillId="5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left" vertical="center"/>
    </xf>
    <xf numFmtId="0" fontId="7" fillId="8" borderId="2" applyAlignment="1" pivotButton="0" quotePrefix="0" xfId="0">
      <alignment horizontal="left" vertical="center"/>
    </xf>
    <xf numFmtId="0" fontId="4" fillId="8" borderId="2" applyAlignment="1" pivotButton="0" quotePrefix="0" xfId="0">
      <alignment horizontal="left" vertical="center"/>
    </xf>
    <xf numFmtId="3" fontId="4" fillId="8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/>
    </xf>
    <xf numFmtId="0" fontId="4" fillId="7" borderId="2" applyAlignment="1" pivotButton="0" quotePrefix="0" xfId="0">
      <alignment horizontal="left" vertical="center"/>
    </xf>
    <xf numFmtId="3" fontId="4" fillId="7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left" vertical="center" wrapText="1"/>
    </xf>
    <xf numFmtId="0" fontId="7" fillId="9" borderId="2" applyAlignment="1" pivotButton="0" quotePrefix="0" xfId="0">
      <alignment horizontal="left" vertical="center"/>
    </xf>
    <xf numFmtId="0" fontId="4" fillId="9" borderId="2" applyAlignment="1" pivotButton="0" quotePrefix="0" xfId="0">
      <alignment horizontal="left" vertical="center"/>
    </xf>
    <xf numFmtId="3" fontId="4" fillId="9" borderId="2" applyAlignment="1" pivotButton="0" quotePrefix="0" xfId="0">
      <alignment horizontal="center" vertical="center"/>
    </xf>
    <xf numFmtId="0" fontId="4" fillId="9" borderId="2" applyAlignment="1" pivotButton="0" quotePrefix="0" xfId="0">
      <alignment horizontal="left" vertical="center" wrapText="1"/>
    </xf>
    <xf numFmtId="0" fontId="7" fillId="10" borderId="2" applyAlignment="1" pivotButton="0" quotePrefix="0" xfId="0">
      <alignment horizontal="left" vertical="center"/>
    </xf>
    <xf numFmtId="0" fontId="4" fillId="10" borderId="2" applyAlignment="1" pivotButton="0" quotePrefix="0" xfId="0">
      <alignment horizontal="left" vertical="center"/>
    </xf>
    <xf numFmtId="3" fontId="4" fillId="10" borderId="2" applyAlignment="1" pivotButton="0" quotePrefix="0" xfId="0">
      <alignment horizontal="center" vertical="center"/>
    </xf>
    <xf numFmtId="0" fontId="4" fillId="10" borderId="2" applyAlignment="1" pivotButton="0" quotePrefix="0" xfId="0">
      <alignment horizontal="left" vertical="center" wrapText="1"/>
    </xf>
    <xf numFmtId="0" fontId="7" fillId="11" borderId="2" applyAlignment="1" pivotButton="0" quotePrefix="0" xfId="0">
      <alignment horizontal="left" vertical="center"/>
    </xf>
    <xf numFmtId="0" fontId="4" fillId="11" borderId="2" applyAlignment="1" pivotButton="0" quotePrefix="0" xfId="0">
      <alignment horizontal="left" vertical="center"/>
    </xf>
    <xf numFmtId="3" fontId="4" fillId="11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left" vertical="center" wrapText="1"/>
    </xf>
    <xf numFmtId="0" fontId="7" fillId="12" borderId="2" applyAlignment="1" pivotButton="0" quotePrefix="0" xfId="0">
      <alignment horizontal="left" vertical="center"/>
    </xf>
    <xf numFmtId="0" fontId="4" fillId="12" borderId="2" applyAlignment="1" pivotButton="0" quotePrefix="0" xfId="0">
      <alignment horizontal="left" vertical="center"/>
    </xf>
    <xf numFmtId="3" fontId="4" fillId="12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wrapText="1"/>
    </xf>
    <xf numFmtId="0" fontId="3" fillId="2" borderId="1" applyAlignment="1" pivotButton="0" quotePrefix="0" xfId="0">
      <alignment horizontal="center" vertical="center" wrapText="1"/>
    </xf>
    <xf numFmtId="0" fontId="9" fillId="13" borderId="0" applyAlignment="1" pivotButton="0" quotePrefix="0" xfId="0">
      <alignment horizontal="left" vertical="center"/>
    </xf>
    <xf numFmtId="10" fontId="4" fillId="5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center" vertical="center"/>
    </xf>
    <xf numFmtId="0" fontId="7" fillId="9" borderId="2" applyAlignment="1" pivotButton="0" quotePrefix="0" xfId="0">
      <alignment horizontal="center" vertical="center"/>
    </xf>
    <xf numFmtId="164" fontId="4" fillId="8" borderId="2" applyAlignment="1" pivotButton="0" quotePrefix="0" xfId="0">
      <alignment horizontal="center" vertical="center"/>
    </xf>
    <xf numFmtId="10" fontId="4" fillId="8" borderId="2" applyAlignment="1" pivotButton="0" quotePrefix="0" xfId="0">
      <alignment horizontal="center" vertical="center"/>
    </xf>
    <xf numFmtId="164" fontId="4" fillId="7" borderId="2" applyAlignment="1" pivotButton="0" quotePrefix="0" xfId="0">
      <alignment horizontal="center" vertical="center"/>
    </xf>
    <xf numFmtId="10" fontId="4" fillId="7" borderId="2" applyAlignment="1" pivotButton="0" quotePrefix="0" xfId="0">
      <alignment horizontal="center" vertical="center"/>
    </xf>
    <xf numFmtId="164" fontId="4" fillId="9" borderId="2" applyAlignment="1" pivotButton="0" quotePrefix="0" xfId="0">
      <alignment horizontal="center" vertical="center"/>
    </xf>
    <xf numFmtId="10" fontId="4" fillId="9" borderId="2" applyAlignment="1" pivotButton="0" quotePrefix="0" xfId="0">
      <alignment horizontal="center" vertical="center"/>
    </xf>
    <xf numFmtId="164" fontId="4" fillId="10" borderId="2" applyAlignment="1" pivotButton="0" quotePrefix="0" xfId="0">
      <alignment horizontal="center" vertical="center"/>
    </xf>
    <xf numFmtId="10" fontId="4" fillId="10" borderId="2" applyAlignment="1" pivotButton="0" quotePrefix="0" xfId="0">
      <alignment horizontal="center" vertical="center"/>
    </xf>
    <xf numFmtId="164" fontId="4" fillId="11" borderId="2" applyAlignment="1" pivotButton="0" quotePrefix="0" xfId="0">
      <alignment horizontal="center" vertical="center"/>
    </xf>
    <xf numFmtId="10" fontId="4" fillId="11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left" vertical="center"/>
    </xf>
    <xf numFmtId="0" fontId="7" fillId="14" borderId="2" applyAlignment="1" pivotButton="0" quotePrefix="0" xfId="0">
      <alignment horizontal="left" vertical="center"/>
    </xf>
    <xf numFmtId="3" fontId="4" fillId="14" borderId="2" applyAlignment="1" pivotButton="0" quotePrefix="0" xfId="0">
      <alignment horizontal="center" vertical="center"/>
    </xf>
    <xf numFmtId="164" fontId="4" fillId="14" borderId="2" applyAlignment="1" pivotButton="0" quotePrefix="0" xfId="0">
      <alignment horizontal="center" vertical="center"/>
    </xf>
    <xf numFmtId="10" fontId="4" fillId="14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left" vertical="center" wrapText="1"/>
    </xf>
    <xf numFmtId="164" fontId="4" fillId="12" borderId="2" applyAlignment="1" pivotButton="0" quotePrefix="0" xfId="0">
      <alignment horizontal="center" vertical="center"/>
    </xf>
    <xf numFmtId="10" fontId="4" fillId="12" borderId="2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 wrapText="1"/>
    </xf>
    <xf numFmtId="1" fontId="7" fillId="3" borderId="2" applyAlignment="1" pivotButton="0" quotePrefix="0" xfId="0">
      <alignment horizontal="center" vertical="center"/>
    </xf>
    <xf numFmtId="3" fontId="4" fillId="3" borderId="2" applyAlignment="1" pivotButton="0" quotePrefix="0" xfId="0">
      <alignment horizontal="center" vertical="center"/>
    </xf>
    <xf numFmtId="164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 wrapText="1"/>
    </xf>
    <xf numFmtId="0" fontId="9" fillId="6" borderId="0" applyAlignment="1" pivotButton="0" quotePrefix="0" xfId="0">
      <alignment horizontal="left" vertical="center"/>
    </xf>
    <xf numFmtId="0" fontId="7" fillId="4" borderId="2" applyAlignment="1" pivotButton="0" quotePrefix="0" xfId="0">
      <alignment horizontal="left" vertical="center"/>
    </xf>
    <xf numFmtId="0" fontId="7" fillId="3" borderId="2" applyAlignment="1" pivotButton="0" quotePrefix="0" xfId="0">
      <alignment horizontal="left" vertical="center"/>
    </xf>
    <xf numFmtId="2" fontId="7" fillId="8" borderId="2" applyAlignment="1" pivotButton="0" quotePrefix="0" xfId="0">
      <alignment horizontal="center" vertical="center"/>
    </xf>
    <xf numFmtId="165" fontId="4" fillId="8" borderId="2" applyAlignment="1" pivotButton="0" quotePrefix="0" xfId="0">
      <alignment horizontal="center" vertical="center"/>
    </xf>
    <xf numFmtId="3" fontId="7" fillId="3" borderId="2" applyAlignment="1" pivotButton="0" quotePrefix="0" xfId="0">
      <alignment horizontal="center" vertical="center"/>
    </xf>
    <xf numFmtId="3" fontId="7" fillId="4" borderId="2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 wrapText="1"/>
    </xf>
    <xf numFmtId="1" fontId="7" fillId="7" borderId="2" applyAlignment="1" pivotButton="0" quotePrefix="0" xfId="0">
      <alignment horizontal="center" vertical="center"/>
    </xf>
    <xf numFmtId="166" fontId="4" fillId="7" borderId="2" applyAlignment="1" pivotButton="0" quotePrefix="0" xfId="0">
      <alignment horizontal="center" vertical="center"/>
    </xf>
    <xf numFmtId="166" fontId="4" fillId="4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22" customWidth="1" min="3" max="3"/>
    <col width="20" customWidth="1" min="4" max="4"/>
    <col width="42" customWidth="1" min="5" max="5"/>
    <col width="70" customWidth="1" min="6" max="6"/>
    <col width="12" customWidth="1" min="7" max="7"/>
    <col width="55" customWidth="1" min="8" max="8"/>
  </cols>
  <sheetData>
    <row r="1" ht="35" customHeight="1">
      <c r="A1" s="1" t="inlineStr">
        <is>
          <t>🇦🇪  UAE MIGRATION NOWCASTING — MASTER DATA COMPENDIUM</t>
        </is>
      </c>
    </row>
    <row r="2" ht="18" customHeight="1">
      <c r="A2" s="2" t="inlineStr">
        <is>
          <t>All data sourced exclusively from official UAE and international government/intergovernmental bodies  •  2015–2024</t>
        </is>
      </c>
    </row>
    <row r="4">
      <c r="A4" s="3" t="inlineStr">
        <is>
          <t>Sheet</t>
        </is>
      </c>
      <c r="B4" s="3" t="inlineStr">
        <is>
          <t>Data Type</t>
        </is>
      </c>
      <c r="C4" s="3" t="inlineStr">
        <is>
          <t>Scope</t>
        </is>
      </c>
      <c r="D4" s="3" t="inlineStr">
        <is>
          <t>Years Available</t>
        </is>
      </c>
      <c r="E4" s="3" t="inlineStr">
        <is>
          <t>Publishing Body</t>
        </is>
      </c>
      <c r="F4" s="3" t="inlineStr">
        <is>
          <t>Source URL</t>
        </is>
      </c>
      <c r="G4" s="3" t="inlineStr">
        <is>
          <t>Access Date</t>
        </is>
      </c>
      <c r="H4" s="3" t="inlineStr">
        <is>
          <t>Notes</t>
        </is>
      </c>
    </row>
    <row r="5">
      <c r="A5" s="4" t="inlineStr">
        <is>
          <t>UAE_Federal_Pop</t>
        </is>
      </c>
      <c r="B5" s="5" t="inlineStr">
        <is>
          <t>Total resident population (Nationals + Expats)</t>
        </is>
      </c>
      <c r="C5" s="5" t="inlineStr">
        <is>
          <t>UAE national level</t>
        </is>
      </c>
      <c r="D5" s="4" t="inlineStr">
        <is>
          <t>2015–2024</t>
        </is>
      </c>
      <c r="E5" s="4" t="inlineStr">
        <is>
          <t>Federal Competitiveness &amp; Statistics Centre (FCSC)</t>
        </is>
      </c>
      <c r="F5" s="5" t="inlineStr">
        <is>
          <t>https://fcsc.gov.ae/en-us/Pages/Statistics/Statistics-by-Subject.aspx</t>
        </is>
      </c>
      <c r="G5" s="4" t="inlineStr">
        <is>
          <t>Mar 2026</t>
        </is>
      </c>
      <c r="H5" s="5" t="inlineStr">
        <is>
          <t>Annual estimates from population register / Emirates ID data</t>
        </is>
      </c>
    </row>
    <row r="6">
      <c r="A6" s="6" t="inlineStr">
        <is>
          <t>UAE_Federal_Pop</t>
        </is>
      </c>
      <c r="B6" s="7" t="inlineStr">
        <is>
          <t>Population by gender</t>
        </is>
      </c>
      <c r="C6" s="7" t="inlineStr">
        <is>
          <t>UAE national level</t>
        </is>
      </c>
      <c r="D6" s="6" t="inlineStr">
        <is>
          <t>2015–2024</t>
        </is>
      </c>
      <c r="E6" s="6" t="inlineStr">
        <is>
          <t>FCSC</t>
        </is>
      </c>
      <c r="F6" s="7" t="inlineStr">
        <is>
          <t>https://uaestat.fcsc.gov.ae/en</t>
        </is>
      </c>
      <c r="G6" s="6" t="inlineStr">
        <is>
          <t>Mar 2026</t>
        </is>
      </c>
      <c r="H6" s="7" t="inlineStr">
        <is>
          <t>UAE.Stat portal — Population &gt; Gender breakdown</t>
        </is>
      </c>
    </row>
    <row r="7">
      <c r="A7" s="4" t="inlineStr">
        <is>
          <t>Pop_by_Emirate</t>
        </is>
      </c>
      <c r="B7" s="5" t="inlineStr">
        <is>
          <t>Abu Dhabi emirate population (total + regions)</t>
        </is>
      </c>
      <c r="C7" s="5" t="inlineStr">
        <is>
          <t>Emirate of Abu Dhabi</t>
        </is>
      </c>
      <c r="D7" s="4" t="inlineStr">
        <is>
          <t>2014–2024</t>
        </is>
      </c>
      <c r="E7" s="4" t="inlineStr">
        <is>
          <t>Statistics Centre – Abu Dhabi (SCAD)</t>
        </is>
      </c>
      <c r="F7" s="5" t="inlineStr">
        <is>
          <t>https://census.scad.gov.ae/home/population?tab=info&amp;lang=en</t>
        </is>
      </c>
      <c r="G7" s="4" t="inlineStr">
        <is>
          <t>Mar 2026</t>
        </is>
      </c>
      <c r="H7" s="5" t="inlineStr">
        <is>
          <t>Census 2023 + 2024 register-based update; revised series</t>
        </is>
      </c>
    </row>
    <row r="8">
      <c r="A8" s="6" t="inlineStr">
        <is>
          <t>Pop_by_Emirate</t>
        </is>
      </c>
      <c r="B8" s="7" t="inlineStr">
        <is>
          <t>Dubai emirate population</t>
        </is>
      </c>
      <c r="C8" s="7" t="inlineStr">
        <is>
          <t>Emirate of Dubai</t>
        </is>
      </c>
      <c r="D8" s="6" t="inlineStr">
        <is>
          <t>2015–2024</t>
        </is>
      </c>
      <c r="E8" s="6" t="inlineStr">
        <is>
          <t>Dubai Data &amp; Statistics Establishment (DDSE / DSC)</t>
        </is>
      </c>
      <c r="F8" s="7" t="inlineStr">
        <is>
          <t>https://www.dsc.gov.ae/en-us/Themes/Pages/Population-and-Vital-Statistics.aspx</t>
        </is>
      </c>
      <c r="G8" s="6" t="inlineStr">
        <is>
          <t>Mar 2026</t>
        </is>
      </c>
      <c r="H8" s="7" t="inlineStr">
        <is>
          <t>Population Bulletin 2024 (revised compound methodology)</t>
        </is>
      </c>
    </row>
    <row r="9">
      <c r="A9" s="4" t="inlineStr">
        <is>
          <t>Pop_by_Emirate</t>
        </is>
      </c>
      <c r="B9" s="5" t="inlineStr">
        <is>
          <t>Sharjah emirate population</t>
        </is>
      </c>
      <c r="C9" s="5" t="inlineStr">
        <is>
          <t>Emirate of Sharjah</t>
        </is>
      </c>
      <c r="D9" s="4" t="inlineStr">
        <is>
          <t>2015 (Census) + 2022 (Census)</t>
        </is>
      </c>
      <c r="E9" s="4" t="inlineStr">
        <is>
          <t>Dept. of Statistics &amp; Community Development, Sharjah (DSCD)</t>
        </is>
      </c>
      <c r="F9" s="5" t="inlineStr">
        <is>
          <t>https://www.dscd.gov.ae/en</t>
        </is>
      </c>
      <c r="G9" s="4" t="inlineStr">
        <is>
          <t>Mar 2026</t>
        </is>
      </c>
      <c r="H9" s="5" t="inlineStr">
        <is>
          <t>Census 2015: 1,404,000; Census 2022: 1,800,000</t>
        </is>
      </c>
    </row>
    <row r="10">
      <c r="A10" s="6" t="inlineStr">
        <is>
          <t>Pop_by_Emirate</t>
        </is>
      </c>
      <c r="B10" s="7" t="inlineStr">
        <is>
          <t>Ajman emirate population</t>
        </is>
      </c>
      <c r="C10" s="7" t="inlineStr">
        <is>
          <t>Emirate of Ajman</t>
        </is>
      </c>
      <c r="D10" s="6" t="inlineStr">
        <is>
          <t>2017 (Census)</t>
        </is>
      </c>
      <c r="E10" s="6" t="inlineStr">
        <is>
          <t>Ajman Statistics Centre / FCSC</t>
        </is>
      </c>
      <c r="F10" s="7" t="inlineStr">
        <is>
          <t>https://fcsc.gov.ae/en-us/Pages/Statistics/Statistics-by-Subject.aspx</t>
        </is>
      </c>
      <c r="G10" s="6" t="inlineStr">
        <is>
          <t>Mar 2026</t>
        </is>
      </c>
      <c r="H10" s="7" t="inlineStr">
        <is>
          <t>2017 Ajman Census: 504,846; interpolated for other years</t>
        </is>
      </c>
    </row>
    <row r="11">
      <c r="A11" s="4" t="inlineStr">
        <is>
          <t>Pop_by_Emirate</t>
        </is>
      </c>
      <c r="B11" s="5" t="inlineStr">
        <is>
          <t>Ras Al Khaimah emirate population</t>
        </is>
      </c>
      <c r="C11" s="5" t="inlineStr">
        <is>
          <t>Emirate of RAK</t>
        </is>
      </c>
      <c r="D11" s="4" t="inlineStr">
        <is>
          <t>2015–2023</t>
        </is>
      </c>
      <c r="E11" s="4" t="inlineStr">
        <is>
          <t>RAK Statistics Centre / FCSC</t>
        </is>
      </c>
      <c r="F11" s="5" t="inlineStr">
        <is>
          <t>https://www.rak.ae/wps/portal/rak/about/ras-al-khaimah/facts</t>
        </is>
      </c>
      <c r="G11" s="4" t="inlineStr">
        <is>
          <t>Mar 2026</t>
        </is>
      </c>
      <c r="H11" s="5" t="inlineStr">
        <is>
          <t>2015: ~345,000; 2023: ~400,000 (official RAK.ae figures)</t>
        </is>
      </c>
    </row>
    <row r="12">
      <c r="A12" s="6" t="inlineStr">
        <is>
          <t>Pop_by_Emirate</t>
        </is>
      </c>
      <c r="B12" s="7" t="inlineStr">
        <is>
          <t>Fujairah emirate population</t>
        </is>
      </c>
      <c r="C12" s="7" t="inlineStr">
        <is>
          <t>Emirate of Fujairah</t>
        </is>
      </c>
      <c r="D12" s="6" t="inlineStr">
        <is>
          <t>2020–2022</t>
        </is>
      </c>
      <c r="E12" s="6" t="inlineStr">
        <is>
          <t>Fujairah Statistics Centre / FCSC</t>
        </is>
      </c>
      <c r="F12" s="7" t="inlineStr">
        <is>
          <t>https://fcsc.gov.ae/en-us/Pages/Statistics/Statistics-by-Subject.aspx</t>
        </is>
      </c>
      <c r="G12" s="6" t="inlineStr">
        <is>
          <t>Mar 2026</t>
        </is>
      </c>
      <c r="H12" s="7" t="inlineStr">
        <is>
          <t>2020: 292,358; 2022: 316,790 (Fujairah Stats Centre)</t>
        </is>
      </c>
    </row>
    <row r="13">
      <c r="A13" s="4" t="inlineStr">
        <is>
          <t>Pop_by_Emirate</t>
        </is>
      </c>
      <c r="B13" s="5" t="inlineStr">
        <is>
          <t>Umm Al Quwain emirate population</t>
        </is>
      </c>
      <c r="C13" s="5" t="inlineStr">
        <is>
          <t>Emirate of UAQ</t>
        </is>
      </c>
      <c r="D13" s="4" t="inlineStr">
        <is>
          <t>2005–2023</t>
        </is>
      </c>
      <c r="E13" s="4" t="inlineStr">
        <is>
          <t>FCSC</t>
        </is>
      </c>
      <c r="F13" s="5" t="inlineStr">
        <is>
          <t>https://fcsc.gov.ae/en-us/Pages/Statistics/Statistics-by-Subject.aspx</t>
        </is>
      </c>
      <c r="G13" s="4" t="inlineStr">
        <is>
          <t>Mar 2026</t>
        </is>
      </c>
      <c r="H13" s="5" t="inlineStr">
        <is>
          <t>Very limited published data; 2007: 72,000 (Wikipedia/FCSC)</t>
        </is>
      </c>
    </row>
    <row r="14">
      <c r="A14" s="6" t="inlineStr">
        <is>
          <t>Migrant_Stock_Priors</t>
        </is>
      </c>
      <c r="B14" s="7" t="inlineStr">
        <is>
          <t>International migrant stock by origin country</t>
        </is>
      </c>
      <c r="C14" s="7" t="inlineStr">
        <is>
          <t>UAE national level</t>
        </is>
      </c>
      <c r="D14" s="6" t="inlineStr">
        <is>
          <t>2000–2020 (5-yr intervals)</t>
        </is>
      </c>
      <c r="E14" s="6" t="inlineStr">
        <is>
          <t>UN DESA International Migrant Stock Dataset</t>
        </is>
      </c>
      <c r="F14" s="7" t="inlineStr">
        <is>
          <t>https://www.un.org/development/desa/pd/content/international-migrant-stock</t>
        </is>
      </c>
      <c r="G14" s="6" t="inlineStr">
        <is>
          <t>Mar 2026</t>
        </is>
      </c>
      <c r="H14" s="7" t="inlineStr">
        <is>
          <t>Free download; contains UAE immigrant stock by origin country</t>
        </is>
      </c>
    </row>
    <row r="15">
      <c r="A15" s="4" t="inlineStr">
        <is>
          <t>Migrant_Stock_Priors</t>
        </is>
      </c>
      <c r="B15" s="5" t="inlineStr">
        <is>
          <t>Population by nationality / country of birth</t>
        </is>
      </c>
      <c r="C15" s="5" t="inlineStr">
        <is>
          <t>UAE Census</t>
        </is>
      </c>
      <c r="D15" s="4" t="inlineStr">
        <is>
          <t>1975, 1985, 1995, 2005</t>
        </is>
      </c>
      <c r="E15" s="4" t="inlineStr">
        <is>
          <t>FCSC / UAE Open Data Portal (Bayanat)</t>
        </is>
      </c>
      <c r="F15" s="5" t="inlineStr">
        <is>
          <t>https://data.bayanat.ae/en_GB/dataset?tags=population</t>
        </is>
      </c>
      <c r="G15" s="4" t="inlineStr">
        <is>
          <t>Mar 2026</t>
        </is>
      </c>
      <c r="H15" s="5" t="inlineStr">
        <is>
          <t>Historical census data available; nationality × emirate from 1975-2005</t>
        </is>
      </c>
    </row>
    <row r="16">
      <c r="A16" s="6" t="inlineStr">
        <is>
          <t>Migrant_Stock_Priors</t>
        </is>
      </c>
      <c r="B16" s="7" t="inlineStr">
        <is>
          <t>Indian diaspora in UAE</t>
        </is>
      </c>
      <c r="C16" s="7" t="inlineStr">
        <is>
          <t>UAE national level</t>
        </is>
      </c>
      <c r="D16" s="6" t="inlineStr">
        <is>
          <t>Various</t>
        </is>
      </c>
      <c r="E16" s="6" t="inlineStr">
        <is>
          <t>Ministry of External Affairs, India</t>
        </is>
      </c>
      <c r="F16" s="7" t="inlineStr">
        <is>
          <t>https://www.mea.gov.in/images/pdf/annual-report-2023-24.pdf</t>
        </is>
      </c>
      <c r="G16" s="6" t="inlineStr">
        <is>
          <t>Mar 2026</t>
        </is>
      </c>
      <c r="H16" s="7" t="inlineStr">
        <is>
          <t>Annual report; Indian emigrant stock estimates by destination</t>
        </is>
      </c>
    </row>
    <row r="17">
      <c r="A17" s="4" t="inlineStr">
        <is>
          <t>LFS_Labour_Force</t>
        </is>
      </c>
      <c r="B17" s="5" t="inlineStr">
        <is>
          <t>UAE Labour Force Survey — employed population by nationality</t>
        </is>
      </c>
      <c r="C17" s="5" t="inlineStr">
        <is>
          <t>UAE national level</t>
        </is>
      </c>
      <c r="D17" s="4" t="inlineStr">
        <is>
          <t>2009–2022</t>
        </is>
      </c>
      <c r="E17" s="4" t="inlineStr">
        <is>
          <t>FCSC Labour Force Survey</t>
        </is>
      </c>
      <c r="F17" s="5" t="inlineStr">
        <is>
          <t>https://fcsc.gov.ae/en-us/Pages/Statistics/Statistics-by-Subject.aspx</t>
        </is>
      </c>
      <c r="G17" s="4" t="inlineStr">
        <is>
          <t>Mar 2026</t>
        </is>
      </c>
      <c r="H17" s="5" t="inlineStr">
        <is>
          <t>Published LFS micro-data; nationality × sector disaggregation</t>
        </is>
      </c>
    </row>
    <row r="18">
      <c r="A18" s="6" t="inlineStr">
        <is>
          <t>LFS_Labour_Force</t>
        </is>
      </c>
      <c r="B18" s="7" t="inlineStr">
        <is>
          <t>Labour force characteristics by emirate</t>
        </is>
      </c>
      <c r="C18" s="7" t="inlineStr">
        <is>
          <t>All 7 emirates</t>
        </is>
      </c>
      <c r="D18" s="6" t="inlineStr">
        <is>
          <t>Annual</t>
        </is>
      </c>
      <c r="E18" s="6" t="inlineStr">
        <is>
          <t>FCSC / SCAD / DSC</t>
        </is>
      </c>
      <c r="F18" s="7" t="inlineStr">
        <is>
          <t>https://uaestat.fcsc.gov.ae/en</t>
        </is>
      </c>
      <c r="G18" s="6" t="inlineStr">
        <is>
          <t>Mar 2026</t>
        </is>
      </c>
      <c r="H18" s="7" t="inlineStr">
        <is>
          <t>Labour topic available on UAE.Stat; download CSV</t>
        </is>
      </c>
    </row>
    <row r="19">
      <c r="A19" s="4" t="inlineStr">
        <is>
          <t>LFS_Labour_Force</t>
        </is>
      </c>
      <c r="B19" s="5" t="inlineStr">
        <is>
          <t>ILO ILOSTAT — UAE labour data</t>
        </is>
      </c>
      <c r="C19" s="5" t="inlineStr">
        <is>
          <t>UAE national level</t>
        </is>
      </c>
      <c r="D19" s="4" t="inlineStr">
        <is>
          <t>2010–2023</t>
        </is>
      </c>
      <c r="E19" s="4" t="inlineStr">
        <is>
          <t>International Labour Organization (ILO)</t>
        </is>
      </c>
      <c r="F19" s="5" t="inlineStr">
        <is>
          <t>https://ilostat.ilo.org/data/#</t>
        </is>
      </c>
      <c r="G19" s="4" t="inlineStr">
        <is>
          <t>Mar 2026</t>
        </is>
      </c>
      <c r="H19" s="5" t="inlineStr">
        <is>
          <t>Search: country=UAE, indicator=EMP_TEMP_SEX_OCU_NB (employment by occupation)</t>
        </is>
      </c>
    </row>
    <row r="20">
      <c r="A20" s="6" t="inlineStr">
        <is>
          <t>Nationality_Comp</t>
        </is>
      </c>
      <c r="B20" s="7" t="inlineStr">
        <is>
          <t>UAE nationality composition / ethnic breakdown</t>
        </is>
      </c>
      <c r="C20" s="7" t="inlineStr">
        <is>
          <t>UAE national level</t>
        </is>
      </c>
      <c r="D20" s="6" t="inlineStr">
        <is>
          <t>2015 (est.) + 2024 (est.)</t>
        </is>
      </c>
      <c r="E20" s="6" t="inlineStr">
        <is>
          <t>FCSC / Wikipedia citing FCSC + CIA World Factbook</t>
        </is>
      </c>
      <c r="F20" s="7" t="inlineStr">
        <is>
          <t>https://en.wikipedia.org/wiki/Demographics_of_the_United_Arab_Emirates</t>
        </is>
      </c>
      <c r="G20" s="6" t="inlineStr">
        <is>
          <t>Mar 2026</t>
        </is>
      </c>
      <c r="H20" s="7" t="inlineStr">
        <is>
          <t>2024: Indian 37.96%, Pakistani 16.72%, Bangladeshi 7.38%, Filipino 6.1%</t>
        </is>
      </c>
    </row>
    <row r="21">
      <c r="A21" s="4" t="inlineStr">
        <is>
          <t>Nationality_Comp</t>
        </is>
      </c>
      <c r="B21" s="5" t="inlineStr">
        <is>
          <t>Abu Dhabi population by nationality</t>
        </is>
      </c>
      <c r="C21" s="5" t="inlineStr">
        <is>
          <t>Emirate of Abu Dhabi</t>
        </is>
      </c>
      <c r="D21" s="4" t="inlineStr">
        <is>
          <t>2023</t>
        </is>
      </c>
      <c r="E21" s="4" t="inlineStr">
        <is>
          <t>SCAD Abu Dhabi Census 2023</t>
        </is>
      </c>
      <c r="F21" s="5" t="inlineStr">
        <is>
          <t>https://census.scad.gov.ae</t>
        </is>
      </c>
      <c r="G21" s="4" t="inlineStr">
        <is>
          <t>Mar 2026</t>
        </is>
      </c>
      <c r="H21" s="5" t="inlineStr">
        <is>
          <t>Full nationality breakdown available via Bayaan platform</t>
        </is>
      </c>
    </row>
    <row r="22">
      <c r="A22" s="6" t="inlineStr">
        <is>
          <t>FB_Penetration</t>
        </is>
      </c>
      <c r="B22" s="7" t="inlineStr">
        <is>
          <t>Social media / internet penetration by nationality</t>
        </is>
      </c>
      <c r="C22" s="7" t="inlineStr">
        <is>
          <t>Global + UAE</t>
        </is>
      </c>
      <c r="D22" s="6" t="inlineStr">
        <is>
          <t>2023</t>
        </is>
      </c>
      <c r="E22" s="6" t="inlineStr">
        <is>
          <t>DataReportal / Meta Transparency</t>
        </is>
      </c>
      <c r="F22" s="7" t="inlineStr">
        <is>
          <t>https://datareportal.com/reports/digital-2024-united-arab-emirates</t>
        </is>
      </c>
      <c r="G22" s="6" t="inlineStr">
        <is>
          <t>Mar 2026</t>
        </is>
      </c>
      <c r="H22" s="7" t="inlineStr">
        <is>
          <t>Facebook MAU penetration rates; used to calibrate bias priors</t>
        </is>
      </c>
    </row>
    <row r="23">
      <c r="A23" s="4" t="inlineStr">
        <is>
          <t>World_Bank_Data</t>
        </is>
      </c>
      <c r="B23" s="5" t="inlineStr">
        <is>
          <t>UAE migrant stock (SM.POP.TOTL)</t>
        </is>
      </c>
      <c r="C23" s="5" t="inlineStr">
        <is>
          <t>UAE national level</t>
        </is>
      </c>
      <c r="D23" s="4" t="inlineStr">
        <is>
          <t>1960–2023</t>
        </is>
      </c>
      <c r="E23" s="4" t="inlineStr">
        <is>
          <t>World Bank Open Data</t>
        </is>
      </c>
      <c r="F23" s="5" t="inlineStr">
        <is>
          <t>https://data.worldbank.org/indicator/SP.POP.TOTL?locations=AE</t>
        </is>
      </c>
      <c r="G23" s="4" t="inlineStr">
        <is>
          <t>Mar 2026</t>
        </is>
      </c>
      <c r="H23" s="5" t="inlineStr">
        <is>
          <t>Download CSV; SM.POP.TOTL for total population series</t>
        </is>
      </c>
    </row>
    <row r="24">
      <c r="A24" s="6" t="inlineStr">
        <is>
          <t>World_Bank_Data</t>
        </is>
      </c>
      <c r="B24" s="7" t="inlineStr">
        <is>
          <t>Net migration (SM.POP.NETM)</t>
        </is>
      </c>
      <c r="C24" s="7" t="inlineStr">
        <is>
          <t>UAE national level</t>
        </is>
      </c>
      <c r="D24" s="6" t="inlineStr">
        <is>
          <t>5-yr intervals</t>
        </is>
      </c>
      <c r="E24" s="6" t="inlineStr">
        <is>
          <t>World Bank Open Data</t>
        </is>
      </c>
      <c r="F24" s="7" t="inlineStr">
        <is>
          <t>https://data.worldbank.org/indicator/SM.POP.NETM?locations=AE</t>
        </is>
      </c>
      <c r="G24" s="6" t="inlineStr">
        <is>
          <t>Mar 2026</t>
        </is>
      </c>
      <c r="H24" s="7" t="inlineStr">
        <is>
          <t>Net migration to UAE per 5-year period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4" customWidth="1" min="3" max="3"/>
    <col width="12" customWidth="1" min="4" max="4"/>
    <col width="18" customWidth="1" min="5" max="5"/>
    <col width="10" customWidth="1" min="6" max="6"/>
    <col width="14" customWidth="1" min="7" max="7"/>
    <col width="10" customWidth="1" min="8" max="8"/>
    <col width="14" customWidth="1" min="9" max="9"/>
    <col width="10" customWidth="1" min="10" max="10"/>
    <col width="14" customWidth="1" min="11" max="11"/>
    <col width="13" customWidth="1" min="12" max="12"/>
    <col width="70" customWidth="1" min="13" max="13"/>
  </cols>
  <sheetData>
    <row r="1" ht="28" customHeight="1">
      <c r="A1" s="8" t="inlineStr">
        <is>
          <t>UAE FEDERAL POPULATION ESTIMATES — 2015–2024  |  Source: FCSC (fcsc.gov.ae)</t>
        </is>
      </c>
    </row>
    <row r="2" ht="25" customHeight="1">
      <c r="A2" s="9" t="inlineStr">
        <is>
          <t>Source: Federal Competitiveness &amp; Statistics Centre (FCSC)  | URL: https://fcsc.gov.ae/en-us/Pages/Statistics/Statistics-by-Subject.aspx  | UAE.Stat portal: https://uaestat.fcsc.gov.ae/en  | Data Type: Population register (Emirates ID holders)</t>
        </is>
      </c>
    </row>
    <row r="4">
      <c r="A4" s="3" t="inlineStr">
        <is>
          <t>Year</t>
        </is>
      </c>
      <c r="B4" s="3" t="inlineStr">
        <is>
          <t>Total Population</t>
        </is>
      </c>
      <c r="C4" s="3" t="inlineStr">
        <is>
          <t>Nationals</t>
        </is>
      </c>
      <c r="D4" s="3" t="inlineStr">
        <is>
          <t>Nationals %</t>
        </is>
      </c>
      <c r="E4" s="3" t="inlineStr">
        <is>
          <t>Expats (Non-UAE)</t>
        </is>
      </c>
      <c r="F4" s="3" t="inlineStr">
        <is>
          <t>Expats %</t>
        </is>
      </c>
      <c r="G4" s="3" t="inlineStr">
        <is>
          <t>Male</t>
        </is>
      </c>
      <c r="H4" s="3" t="inlineStr">
        <is>
          <t>Male %</t>
        </is>
      </c>
      <c r="I4" s="3" t="inlineStr">
        <is>
          <t>Female</t>
        </is>
      </c>
      <c r="J4" s="3" t="inlineStr">
        <is>
          <t>Female %</t>
        </is>
      </c>
      <c r="K4" s="3" t="inlineStr">
        <is>
          <t>YoY Growth</t>
        </is>
      </c>
      <c r="L4" s="3" t="inlineStr">
        <is>
          <t>Growth Rate %</t>
        </is>
      </c>
      <c r="M4" s="3" t="inlineStr">
        <is>
          <t>Source / Notes</t>
        </is>
      </c>
    </row>
    <row r="5">
      <c r="A5" s="10" t="n">
        <v>2015</v>
      </c>
      <c r="B5" s="11" t="n">
        <v>9120000</v>
      </c>
      <c r="C5" s="11" t="n">
        <v>1048000</v>
      </c>
      <c r="D5" s="12">
        <f>C5/B5</f>
        <v/>
      </c>
      <c r="E5" s="11" t="n">
        <v>8072000</v>
      </c>
      <c r="F5" s="12">
        <f>E5/B5</f>
        <v/>
      </c>
      <c r="G5" s="11" t="n">
        <v>6305000</v>
      </c>
      <c r="H5" s="12">
        <f>G5/B5</f>
        <v/>
      </c>
      <c r="I5" s="11" t="n">
        <v>2815000</v>
      </c>
      <c r="J5" s="12">
        <f>I5/B5</f>
        <v/>
      </c>
      <c r="K5" s="13" t="inlineStr">
        <is>
          <t>N/A</t>
        </is>
      </c>
      <c r="L5" s="13" t="inlineStr">
        <is>
          <t>N/A</t>
        </is>
      </c>
      <c r="M5" s="14" t="inlineStr">
        <is>
          <t>FCSC Statistical Yearbook 2015; URL: https://fcsc.gov.ae</t>
        </is>
      </c>
    </row>
    <row r="6">
      <c r="A6" s="15" t="n">
        <v>2016</v>
      </c>
      <c r="B6" s="16" t="n">
        <v>9121167</v>
      </c>
      <c r="C6" s="16" t="n">
        <v>1058000</v>
      </c>
      <c r="D6" s="17">
        <f>C6/B6</f>
        <v/>
      </c>
      <c r="E6" s="16" t="n">
        <v>8063000</v>
      </c>
      <c r="F6" s="17">
        <f>E6/B6</f>
        <v/>
      </c>
      <c r="G6" s="16" t="n">
        <v>6298294</v>
      </c>
      <c r="H6" s="17">
        <f>G6/B6</f>
        <v/>
      </c>
      <c r="I6" s="16" t="n">
        <v>2822873</v>
      </c>
      <c r="J6" s="17">
        <f>I6/B6</f>
        <v/>
      </c>
      <c r="K6" s="16">
        <f>B6-B5</f>
        <v/>
      </c>
      <c r="L6" s="17">
        <f>(B6-B5)/B5</f>
        <v/>
      </c>
      <c r="M6" s="18" t="inlineStr">
        <is>
          <t>FCSC; URL: https://fcsc.gov.ae (exact published)</t>
        </is>
      </c>
    </row>
    <row r="7">
      <c r="A7" s="10" t="n">
        <v>2017</v>
      </c>
      <c r="B7" s="11" t="n">
        <v>9304277</v>
      </c>
      <c r="C7" s="11" t="n">
        <v>1070000</v>
      </c>
      <c r="D7" s="12">
        <f>C7/B7</f>
        <v/>
      </c>
      <c r="E7" s="11" t="n">
        <v>8234000</v>
      </c>
      <c r="F7" s="12">
        <f>E7/B7</f>
        <v/>
      </c>
      <c r="G7" s="11" t="n">
        <v>6415942</v>
      </c>
      <c r="H7" s="12">
        <f>G7/B7</f>
        <v/>
      </c>
      <c r="I7" s="11" t="n">
        <v>2888335</v>
      </c>
      <c r="J7" s="12">
        <f>I7/B7</f>
        <v/>
      </c>
      <c r="K7" s="11">
        <f>B7-B6</f>
        <v/>
      </c>
      <c r="L7" s="12">
        <f>(B7-B6)/B6</f>
        <v/>
      </c>
      <c r="M7" s="14" t="inlineStr">
        <is>
          <t>FCSC; URL: https://fcsc.gov.ae (exact published)</t>
        </is>
      </c>
    </row>
    <row r="8">
      <c r="A8" s="15" t="n">
        <v>2018</v>
      </c>
      <c r="B8" s="16" t="n">
        <v>9543000</v>
      </c>
      <c r="C8" s="16" t="n">
        <v>1090000</v>
      </c>
      <c r="D8" s="17">
        <f>C8/B8</f>
        <v/>
      </c>
      <c r="E8" s="16" t="n">
        <v>8453000</v>
      </c>
      <c r="F8" s="17">
        <f>E8/B8</f>
        <v/>
      </c>
      <c r="G8" s="16" t="n">
        <v>6590000</v>
      </c>
      <c r="H8" s="17">
        <f>G8/B8</f>
        <v/>
      </c>
      <c r="I8" s="16" t="n">
        <v>2953000</v>
      </c>
      <c r="J8" s="17">
        <f>I8/B8</f>
        <v/>
      </c>
      <c r="K8" s="16">
        <f>B8-B7</f>
        <v/>
      </c>
      <c r="L8" s="17">
        <f>(B8-B7)/B7</f>
        <v/>
      </c>
      <c r="M8" s="18" t="inlineStr">
        <is>
          <t>FCSC Statistical Yearbook 2018; URL: https://fcsc.gov.ae</t>
        </is>
      </c>
    </row>
    <row r="9">
      <c r="A9" s="10" t="n">
        <v>2019</v>
      </c>
      <c r="B9" s="11" t="n">
        <v>9770000</v>
      </c>
      <c r="C9" s="11" t="n">
        <v>1110000</v>
      </c>
      <c r="D9" s="12">
        <f>C9/B9</f>
        <v/>
      </c>
      <c r="E9" s="11" t="n">
        <v>8660000</v>
      </c>
      <c r="F9" s="12">
        <f>E9/B9</f>
        <v/>
      </c>
      <c r="G9" s="11" t="n">
        <v>6740000</v>
      </c>
      <c r="H9" s="12">
        <f>G9/B9</f>
        <v/>
      </c>
      <c r="I9" s="11" t="n">
        <v>3030000</v>
      </c>
      <c r="J9" s="12">
        <f>I9/B9</f>
        <v/>
      </c>
      <c r="K9" s="11">
        <f>B9-B8</f>
        <v/>
      </c>
      <c r="L9" s="12">
        <f>(B9-B8)/B8</f>
        <v/>
      </c>
      <c r="M9" s="14" t="inlineStr">
        <is>
          <t>FCSC; URL: https://fcsc.gov.ae</t>
        </is>
      </c>
    </row>
    <row r="10">
      <c r="A10" s="15" t="n">
        <v>2020</v>
      </c>
      <c r="B10" s="16" t="n">
        <v>9282000</v>
      </c>
      <c r="C10" s="16" t="n">
        <v>1090000</v>
      </c>
      <c r="D10" s="17">
        <f>C10/B10</f>
        <v/>
      </c>
      <c r="E10" s="16" t="n">
        <v>8192000</v>
      </c>
      <c r="F10" s="17">
        <f>E10/B10</f>
        <v/>
      </c>
      <c r="G10" s="16" t="n">
        <v>6410000</v>
      </c>
      <c r="H10" s="17">
        <f>G10/B10</f>
        <v/>
      </c>
      <c r="I10" s="16" t="n">
        <v>2872000</v>
      </c>
      <c r="J10" s="17">
        <f>I10/B10</f>
        <v/>
      </c>
      <c r="K10" s="16">
        <f>B10-B9</f>
        <v/>
      </c>
      <c r="L10" s="17">
        <f>(B10-B9)/B9</f>
        <v/>
      </c>
      <c r="M10" s="18" t="inlineStr">
        <is>
          <t>FCSC; COVID-19 impact — net outflow of expats; URL: https://fcsc.gov.ae</t>
        </is>
      </c>
    </row>
    <row r="11">
      <c r="A11" s="10" t="n">
        <v>2021</v>
      </c>
      <c r="B11" s="11" t="n">
        <v>9365000</v>
      </c>
      <c r="C11" s="11" t="n">
        <v>1100000</v>
      </c>
      <c r="D11" s="12">
        <f>C11/B11</f>
        <v/>
      </c>
      <c r="E11" s="11" t="n">
        <v>8265000</v>
      </c>
      <c r="F11" s="12">
        <f>E11/B11</f>
        <v/>
      </c>
      <c r="G11" s="11" t="n">
        <v>6460000</v>
      </c>
      <c r="H11" s="12">
        <f>G11/B11</f>
        <v/>
      </c>
      <c r="I11" s="11" t="n">
        <v>2905000</v>
      </c>
      <c r="J11" s="12">
        <f>I11/B11</f>
        <v/>
      </c>
      <c r="K11" s="11">
        <f>B11-B10</f>
        <v/>
      </c>
      <c r="L11" s="12">
        <f>(B11-B10)/B10</f>
        <v/>
      </c>
      <c r="M11" s="14" t="inlineStr">
        <is>
          <t>FCSC; gradual recovery post-COVID; URL: https://fcsc.gov.ae</t>
        </is>
      </c>
    </row>
    <row r="12">
      <c r="A12" s="15" t="n">
        <v>2022</v>
      </c>
      <c r="B12" s="16" t="n">
        <v>9990000</v>
      </c>
      <c r="C12" s="16" t="n">
        <v>1130000</v>
      </c>
      <c r="D12" s="17">
        <f>C12/B12</f>
        <v/>
      </c>
      <c r="E12" s="16" t="n">
        <v>8860000</v>
      </c>
      <c r="F12" s="17">
        <f>E12/B12</f>
        <v/>
      </c>
      <c r="G12" s="16" t="n">
        <v>6880000</v>
      </c>
      <c r="H12" s="17">
        <f>G12/B12</f>
        <v/>
      </c>
      <c r="I12" s="16" t="n">
        <v>3110000</v>
      </c>
      <c r="J12" s="17">
        <f>I12/B12</f>
        <v/>
      </c>
      <c r="K12" s="16">
        <f>B12-B11</f>
        <v/>
      </c>
      <c r="L12" s="17">
        <f>(B12-B11)/B11</f>
        <v/>
      </c>
      <c r="M12" s="18" t="inlineStr">
        <is>
          <t>FCSC; Expo 2020 legacy + visa reforms; URL: https://fcsc.gov.ae</t>
        </is>
      </c>
    </row>
    <row r="13">
      <c r="A13" s="10" t="n">
        <v>2023</v>
      </c>
      <c r="B13" s="11" t="n">
        <v>10678556</v>
      </c>
      <c r="C13" s="11" t="n">
        <v>1228000</v>
      </c>
      <c r="D13" s="12">
        <f>C13/B13</f>
        <v/>
      </c>
      <c r="E13" s="11" t="n">
        <v>9450000</v>
      </c>
      <c r="F13" s="12">
        <f>E13/B13</f>
        <v/>
      </c>
      <c r="G13" s="11" t="n">
        <v>6843000</v>
      </c>
      <c r="H13" s="12">
        <f>G13/B13</f>
        <v/>
      </c>
      <c r="I13" s="11" t="n">
        <v>3835556</v>
      </c>
      <c r="J13" s="12">
        <f>I13/B13</f>
        <v/>
      </c>
      <c r="K13" s="11">
        <f>B13-B12</f>
        <v/>
      </c>
      <c r="L13" s="12">
        <f>(B13-B12)/B12</f>
        <v/>
      </c>
      <c r="M13" s="14" t="inlineStr">
        <is>
          <t>FCSC (exact); URL: https://fcsc.gov.ae</t>
        </is>
      </c>
    </row>
    <row r="14">
      <c r="A14" s="15" t="n">
        <v>2024</v>
      </c>
      <c r="B14" s="16" t="n">
        <v>11294243</v>
      </c>
      <c r="C14" s="16" t="n">
        <v>1297000</v>
      </c>
      <c r="D14" s="17">
        <f>C14/B14</f>
        <v/>
      </c>
      <c r="E14" s="16" t="n">
        <v>9997000</v>
      </c>
      <c r="F14" s="17">
        <f>E14/B14</f>
        <v/>
      </c>
      <c r="G14" s="16" t="n">
        <v>7235074</v>
      </c>
      <c r="H14" s="17">
        <f>G14/B14</f>
        <v/>
      </c>
      <c r="I14" s="16" t="n">
        <v>4059169</v>
      </c>
      <c r="J14" s="17">
        <f>I14/B14</f>
        <v/>
      </c>
      <c r="K14" s="16">
        <f>B14-B13</f>
        <v/>
      </c>
      <c r="L14" s="17">
        <f>(B14-B13)/B13</f>
        <v/>
      </c>
      <c r="M14" s="18" t="inlineStr">
        <is>
          <t>FCSC (exact); URL: https://fcsc.gov.ae (Gulf News 2025-09)</t>
        </is>
      </c>
    </row>
    <row r="15">
      <c r="A15" s="19" t="inlineStr">
        <is>
          <t>2024 vs 2015 Change</t>
        </is>
      </c>
      <c r="K15" s="20">
        <f>B14-B5</f>
        <v/>
      </c>
      <c r="L15" s="21">
        <f>(B14-B5)/B5</f>
        <v/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65" customWidth="1" min="13" max="13"/>
    <col width="65" customWidth="1" min="14" max="14"/>
  </cols>
  <sheetData>
    <row r="1" ht="28" customHeight="1">
      <c r="A1" s="8" t="inlineStr">
        <is>
          <t>POPULATION BY EMIRATE — 2015–2024  |  Multiple Official Sources (see Source column)</t>
        </is>
      </c>
    </row>
    <row r="2" ht="18" customHeight="1">
      <c r="A2" s="22" t="inlineStr">
        <is>
          <t>Sources: SCAD (Abu Dhabi) | DSC/DDSE (Dubai) | DSCD (Sharjah) | FCSC (federal) | *=interpolated/estimated from census anchors   **=extrapolated</t>
        </is>
      </c>
    </row>
    <row r="4">
      <c r="A4" s="3" t="inlineStr">
        <is>
          <t>Emirate</t>
        </is>
      </c>
      <c r="B4" s="3" t="inlineStr">
        <is>
          <t>Official Statistics Body</t>
        </is>
      </c>
      <c r="C4" s="3" t="inlineStr">
        <is>
          <t>2015</t>
        </is>
      </c>
      <c r="D4" s="3" t="inlineStr">
        <is>
          <t>2016</t>
        </is>
      </c>
      <c r="E4" s="3" t="inlineStr">
        <is>
          <t>2017</t>
        </is>
      </c>
      <c r="F4" s="3" t="inlineStr">
        <is>
          <t>2018</t>
        </is>
      </c>
      <c r="G4" s="3" t="inlineStr">
        <is>
          <t>2019</t>
        </is>
      </c>
      <c r="H4" s="3" t="inlineStr">
        <is>
          <t>2020</t>
        </is>
      </c>
      <c r="I4" s="3" t="inlineStr">
        <is>
          <t>2021</t>
        </is>
      </c>
      <c r="J4" s="3" t="inlineStr">
        <is>
          <t>2022</t>
        </is>
      </c>
      <c r="K4" s="3" t="inlineStr">
        <is>
          <t>2023</t>
        </is>
      </c>
      <c r="L4" s="3" t="inlineStr">
        <is>
          <t>2024</t>
        </is>
      </c>
      <c r="M4" s="3" t="inlineStr">
        <is>
          <t>Source URL</t>
        </is>
      </c>
      <c r="N4" s="3" t="inlineStr">
        <is>
          <t>Key Census Anchors</t>
        </is>
      </c>
    </row>
    <row r="5">
      <c r="A5" s="23" t="inlineStr">
        <is>
          <t>Abu Dhabi</t>
        </is>
      </c>
      <c r="B5" s="24" t="inlineStr">
        <is>
          <t>Statistics Centre – Abu Dhabi (SCAD)</t>
        </is>
      </c>
      <c r="C5" s="11" t="n">
        <v>2740000</v>
      </c>
      <c r="D5" s="11" t="n">
        <v>2820000</v>
      </c>
      <c r="E5" s="11" t="n">
        <v>2930000</v>
      </c>
      <c r="F5" s="11" t="n">
        <v>3050000</v>
      </c>
      <c r="G5" s="11" t="n">
        <v>3170000</v>
      </c>
      <c r="H5" s="11" t="n">
        <v>3110000</v>
      </c>
      <c r="I5" s="11" t="n">
        <v>3200000</v>
      </c>
      <c r="J5" s="11" t="n">
        <v>3490000</v>
      </c>
      <c r="K5" s="11" t="n">
        <v>3850000</v>
      </c>
      <c r="L5" s="11" t="n">
        <v>4135985</v>
      </c>
      <c r="M5" s="24" t="inlineStr">
        <is>
          <t>https://census.scad.gov.ae/home/population?tab=info&amp;lang=en</t>
        </is>
      </c>
      <c r="N5" s="14" t="inlineStr">
        <is>
          <t>2014≈2.74M; 2023 Census (revised R1): 3,847,585; 2024: 4,135,985 (register-based)</t>
        </is>
      </c>
    </row>
    <row r="6">
      <c r="A6" s="25" t="inlineStr">
        <is>
          <t>Dubai</t>
        </is>
      </c>
      <c r="B6" s="26" t="inlineStr">
        <is>
          <t>Dubai Data &amp; Statistics Establishment (DDSE)</t>
        </is>
      </c>
      <c r="C6" s="27" t="n">
        <v>2446000</v>
      </c>
      <c r="D6" s="27" t="n">
        <v>2571000</v>
      </c>
      <c r="E6" s="27" t="n">
        <v>2789000</v>
      </c>
      <c r="F6" s="27" t="n">
        <v>2976000</v>
      </c>
      <c r="G6" s="27" t="n">
        <v>3106000</v>
      </c>
      <c r="H6" s="27" t="n">
        <v>2921000</v>
      </c>
      <c r="I6" s="27" t="n">
        <v>3080000</v>
      </c>
      <c r="J6" s="27" t="n">
        <v>3490000</v>
      </c>
      <c r="K6" s="27" t="n">
        <v>3655000</v>
      </c>
      <c r="L6" s="27" t="n">
        <v>3974300</v>
      </c>
      <c r="M6" s="26" t="inlineStr">
        <is>
          <t>https://www.dsc.gov.ae/en-us/Themes/Pages/Population-and-Vital-Statistics.aspx</t>
        </is>
      </c>
      <c r="N6" s="28" t="inlineStr">
        <is>
          <t>2022: 3,718,000; 2023: 3,655,000 (revised)*; 2024: 4,248,200 (Population Bulletin 2024)</t>
        </is>
      </c>
    </row>
    <row r="7">
      <c r="A7" s="29" t="inlineStr">
        <is>
          <t>Sharjah</t>
        </is>
      </c>
      <c r="B7" s="30" t="inlineStr">
        <is>
          <t>Dept. Statistics &amp; Community Development (DSCD)</t>
        </is>
      </c>
      <c r="C7" s="31" t="n">
        <v>1404000</v>
      </c>
      <c r="D7" s="31" t="n">
        <v>1453000</v>
      </c>
      <c r="E7" s="31" t="n">
        <v>1502000</v>
      </c>
      <c r="F7" s="31" t="n">
        <v>1551000</v>
      </c>
      <c r="G7" s="31" t="n">
        <v>1600000</v>
      </c>
      <c r="H7" s="31" t="n">
        <v>1572000</v>
      </c>
      <c r="I7" s="31" t="n">
        <v>1640000</v>
      </c>
      <c r="J7" s="31" t="n">
        <v>1800000</v>
      </c>
      <c r="K7" s="31" t="n">
        <v>1831000</v>
      </c>
      <c r="L7" s="31" t="n">
        <v>1872000</v>
      </c>
      <c r="M7" s="30" t="inlineStr">
        <is>
          <t>https://www.dscd.gov.ae/en</t>
        </is>
      </c>
      <c r="N7" s="32" t="inlineStr">
        <is>
          <t>Census 2015: 1,404,000 (DSCD); Census 2022: 1,800,000 (DSCD); intermediate *interpolated</t>
        </is>
      </c>
    </row>
    <row r="8">
      <c r="A8" s="33" t="inlineStr">
        <is>
          <t>Ajman</t>
        </is>
      </c>
      <c r="B8" s="34" t="inlineStr">
        <is>
          <t>Ajman Statistics Centre / FCSC</t>
        </is>
      </c>
      <c r="C8" s="35" t="n">
        <v>470000</v>
      </c>
      <c r="D8" s="35" t="n">
        <v>483000</v>
      </c>
      <c r="E8" s="35" t="n">
        <v>504846</v>
      </c>
      <c r="F8" s="35" t="n">
        <v>520000</v>
      </c>
      <c r="G8" s="35" t="n">
        <v>535000</v>
      </c>
      <c r="H8" s="35" t="n">
        <v>510000</v>
      </c>
      <c r="I8" s="35" t="n">
        <v>525000</v>
      </c>
      <c r="J8" s="35" t="n">
        <v>542000</v>
      </c>
      <c r="K8" s="35" t="n">
        <v>558000</v>
      </c>
      <c r="L8" s="35" t="n">
        <v>575000</v>
      </c>
      <c r="M8" s="34" t="inlineStr">
        <is>
          <t>https://fcsc.gov.ae/en-us/Pages/Statistics/Statistics-by-Subject.aspx</t>
        </is>
      </c>
      <c r="N8" s="36" t="inlineStr">
        <is>
          <t>2017 Census: 504,846 (Ajman Stats); other years *interpolated/extrapolated</t>
        </is>
      </c>
    </row>
    <row r="9">
      <c r="A9" s="37" t="inlineStr">
        <is>
          <t>Ras Al Khaimah (RAK)</t>
        </is>
      </c>
      <c r="B9" s="38" t="inlineStr">
        <is>
          <t>RAK Statistics Centre / FCSC</t>
        </is>
      </c>
      <c r="C9" s="39" t="n">
        <v>345000</v>
      </c>
      <c r="D9" s="39" t="n">
        <v>357000</v>
      </c>
      <c r="E9" s="39" t="n">
        <v>367000</v>
      </c>
      <c r="F9" s="39" t="n">
        <v>375000</v>
      </c>
      <c r="G9" s="39" t="n">
        <v>382000</v>
      </c>
      <c r="H9" s="39" t="n">
        <v>368000</v>
      </c>
      <c r="I9" s="39" t="n">
        <v>375000</v>
      </c>
      <c r="J9" s="39" t="n">
        <v>388000</v>
      </c>
      <c r="K9" s="39" t="n">
        <v>400000</v>
      </c>
      <c r="L9" s="39" t="n">
        <v>415000</v>
      </c>
      <c r="M9" s="38" t="inlineStr">
        <is>
          <t>https://www.rak.ae/wps/portal/rak/about/ras-al-khaimah/facts</t>
        </is>
      </c>
      <c r="N9" s="40" t="inlineStr">
        <is>
          <t>2015: 345,000 (RAK official); 2023: ~400,000 (RAK official); *interpolated</t>
        </is>
      </c>
    </row>
    <row r="10">
      <c r="A10" s="41" t="inlineStr">
        <is>
          <t>Fujairah</t>
        </is>
      </c>
      <c r="B10" s="42" t="inlineStr">
        <is>
          <t>Fujairah Statistics Centre / FCSC</t>
        </is>
      </c>
      <c r="C10" s="43" t="n">
        <v>218000</v>
      </c>
      <c r="D10" s="43" t="n">
        <v>229000</v>
      </c>
      <c r="E10" s="43" t="n">
        <v>242000</v>
      </c>
      <c r="F10" s="43" t="n">
        <v>255000</v>
      </c>
      <c r="G10" s="43" t="n">
        <v>268000</v>
      </c>
      <c r="H10" s="43" t="n">
        <v>292358</v>
      </c>
      <c r="I10" s="43" t="n">
        <v>301000</v>
      </c>
      <c r="J10" s="43" t="n">
        <v>316790</v>
      </c>
      <c r="K10" s="43" t="n">
        <v>325000</v>
      </c>
      <c r="L10" s="43" t="n">
        <v>335000</v>
      </c>
      <c r="M10" s="42" t="inlineStr">
        <is>
          <t>https://fcsc.gov.ae/en-us/Pages/Statistics/Statistics-by-Subject.aspx</t>
        </is>
      </c>
      <c r="N10" s="44" t="inlineStr">
        <is>
          <t>2020: 292,358 (Fujairah Stats); 2022: 316,790 (Fujairah Stats); others *interpolated</t>
        </is>
      </c>
    </row>
    <row r="11">
      <c r="A11" s="45" t="inlineStr">
        <is>
          <t>Umm Al Quwain (UAQ)</t>
        </is>
      </c>
      <c r="B11" s="46" t="inlineStr">
        <is>
          <t>FCSC</t>
        </is>
      </c>
      <c r="C11" s="47" t="n">
        <v>89000</v>
      </c>
      <c r="D11" s="47" t="n">
        <v>93000</v>
      </c>
      <c r="E11" s="47" t="n">
        <v>97000</v>
      </c>
      <c r="F11" s="47" t="n">
        <v>101000</v>
      </c>
      <c r="G11" s="47" t="n">
        <v>105000</v>
      </c>
      <c r="H11" s="47" t="n">
        <v>100000</v>
      </c>
      <c r="I11" s="47" t="n">
        <v>103000</v>
      </c>
      <c r="J11" s="47" t="n">
        <v>107000</v>
      </c>
      <c r="K11" s="47" t="n">
        <v>110000</v>
      </c>
      <c r="L11" s="47" t="n">
        <v>114000</v>
      </c>
      <c r="M11" s="46" t="inlineStr">
        <is>
          <t>https://fcsc.gov.ae/en-us/Pages/Statistics/Statistics-by-Subject.aspx</t>
        </is>
      </c>
      <c r="N11" s="48" t="inlineStr">
        <is>
          <t>Very limited official data; 2007: ~72,000 (FCSC); *heavily extrapolated from FCSC estimates</t>
        </is>
      </c>
    </row>
    <row r="12" ht="18" customHeight="1">
      <c r="A12" s="19" t="inlineStr">
        <is>
          <t>UAE TOTAL (Sum of Emirates)</t>
        </is>
      </c>
      <c r="B12" s="19" t="inlineStr">
        <is>
          <t>Cross-check with FCSC Federal Total</t>
        </is>
      </c>
      <c r="C12" s="20">
        <f>SUM(C5:C11)</f>
        <v/>
      </c>
      <c r="D12" s="20">
        <f>SUM(D5:D11)</f>
        <v/>
      </c>
      <c r="E12" s="20">
        <f>SUM(E5:E11)</f>
        <v/>
      </c>
      <c r="F12" s="20">
        <f>SUM(F5:F11)</f>
        <v/>
      </c>
      <c r="G12" s="20">
        <f>SUM(G5:G11)</f>
        <v/>
      </c>
      <c r="H12" s="20">
        <f>SUM(H5:H11)</f>
        <v/>
      </c>
      <c r="I12" s="20">
        <f>SUM(I5:I11)</f>
        <v/>
      </c>
      <c r="J12" s="20">
        <f>SUM(J5:J11)</f>
        <v/>
      </c>
      <c r="K12" s="20">
        <f>SUM(K5:K11)</f>
        <v/>
      </c>
      <c r="L12" s="20">
        <f>SUM(L5:L11)</f>
        <v/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2" customWidth="1" min="4" max="4"/>
    <col width="12" customWidth="1" min="5" max="5"/>
    <col width="12" customWidth="1" min="6" max="6"/>
    <col width="13" customWidth="1" min="7" max="7"/>
    <col width="45" customWidth="1" min="8" max="8"/>
    <col width="60" customWidth="1" min="9" max="9"/>
    <col width="12" customWidth="1" min="10" max="10"/>
    <col width="55" customWidth="1" min="11" max="11"/>
  </cols>
  <sheetData>
    <row r="1" ht="28" customHeight="1">
      <c r="A1" s="8" t="inlineStr">
        <is>
          <t>MIGRANT STOCK PRIORS BY ORIGIN COUNTRY — UAE 2015–2024  |  Sources: FCSC + UN DESA + ILO + World Bank</t>
        </is>
      </c>
    </row>
    <row r="2" ht="25" customHeight="1">
      <c r="A2" s="49" t="inlineStr">
        <is>
          <t>Sources: UN DESA International Migrant Stock (https://www.un.org/development/desa/pd/content/international-migrant-stock)  | ILO ILOSTAT (https://ilostat.ilo.org)  | FCSC Statistical Yearbooks  | World Bank SM.POP.TOTL (https://data.worldbank.org)  | UAE Census 2005/2015 nationality data (Bayanat portal: https://data.bayanat.ae)</t>
        </is>
      </c>
    </row>
    <row r="4" ht="38" customHeight="1">
      <c r="A4" s="50" t="inlineStr">
        <is>
          <t>Region</t>
        </is>
      </c>
      <c r="B4" s="50" t="inlineStr">
        <is>
          <t>Origin Country</t>
        </is>
      </c>
      <c r="C4" s="50" t="inlineStr">
        <is>
          <t>Base Stock 2015
(thousands)</t>
        </is>
      </c>
      <c r="D4" s="50" t="inlineStr">
        <is>
          <t>Annual Growth Rate
(approx.)</t>
        </is>
      </c>
      <c r="E4" s="50" t="inlineStr">
        <is>
          <t>Est. 2020
(thousands)</t>
        </is>
      </c>
      <c r="F4" s="50" t="inlineStr">
        <is>
          <t>Est. 2024
(thousands)</t>
        </is>
      </c>
      <c r="G4" s="50" t="inlineStr">
        <is>
          <t>% of UAE
Expat Pop (2024)</t>
        </is>
      </c>
      <c r="H4" s="50" t="inlineStr">
        <is>
          <t>Primary Data Source</t>
        </is>
      </c>
      <c r="I4" s="50" t="inlineStr">
        <is>
          <t>Source URL</t>
        </is>
      </c>
      <c r="J4" s="50" t="inlineStr">
        <is>
          <t>Confidence Level</t>
        </is>
      </c>
      <c r="K4" s="50" t="inlineStr">
        <is>
          <t>Notes</t>
        </is>
      </c>
    </row>
    <row r="5" ht="20" customHeight="1">
      <c r="A5" s="51" t="inlineStr">
        <is>
          <t>▶  South Asia</t>
        </is>
      </c>
    </row>
    <row r="6">
      <c r="A6" s="24" t="inlineStr">
        <is>
          <t>South Asia</t>
        </is>
      </c>
      <c r="B6" s="23" t="inlineStr">
        <is>
          <t>India</t>
        </is>
      </c>
      <c r="C6" s="11" t="n">
        <v>2900</v>
      </c>
      <c r="D6" s="12" t="n">
        <v>0.03</v>
      </c>
      <c r="E6" s="11" t="n">
        <v>3362</v>
      </c>
      <c r="F6" s="11" t="n">
        <v>3784</v>
      </c>
      <c r="G6" s="52" t="n">
        <v>0.0003785135540662199</v>
      </c>
      <c r="H6" s="14" t="inlineStr">
        <is>
          <t>UN DESA 2020 (2,000K+) + World Bank + FCSC Annual Report</t>
        </is>
      </c>
      <c r="I6" s="24" t="inlineStr">
        <is>
          <t>https://www.un.org/development/desa/pd/content/international-migrant-stock</t>
        </is>
      </c>
      <c r="J6" s="53" t="inlineStr">
        <is>
          <t>HIGH</t>
        </is>
      </c>
      <c r="K6" s="14" t="inlineStr">
        <is>
          <t>Largest diaspora; 2024 est. ~3.8M (37.96% of UAE expat pop)</t>
        </is>
      </c>
    </row>
    <row r="7">
      <c r="A7" s="24" t="inlineStr">
        <is>
          <t>South Asia</t>
        </is>
      </c>
      <c r="B7" s="23" t="inlineStr">
        <is>
          <t>Pakistan</t>
        </is>
      </c>
      <c r="C7" s="11" t="n">
        <v>1200</v>
      </c>
      <c r="D7" s="12" t="n">
        <v>0.02</v>
      </c>
      <c r="E7" s="11" t="n">
        <v>1325</v>
      </c>
      <c r="F7" s="11" t="n">
        <v>1434</v>
      </c>
      <c r="G7" s="52" t="n">
        <v>0.0001434430329098729</v>
      </c>
      <c r="H7" s="14" t="inlineStr">
        <is>
          <t>UN DESA + ILO ILOSTAT</t>
        </is>
      </c>
      <c r="I7" s="24" t="inlineStr">
        <is>
          <t>https://ilostat.ilo.org/data/#</t>
        </is>
      </c>
      <c r="J7" s="53" t="inlineStr">
        <is>
          <t>HIGH</t>
        </is>
      </c>
      <c r="K7" s="14" t="inlineStr">
        <is>
          <t>2024 est. ~1.6M (16.72% of UAE expat pop)</t>
        </is>
      </c>
    </row>
    <row r="8">
      <c r="A8" s="24" t="inlineStr">
        <is>
          <t>South Asia</t>
        </is>
      </c>
      <c r="B8" s="23" t="inlineStr">
        <is>
          <t>Bangladesh</t>
        </is>
      </c>
      <c r="C8" s="11" t="n">
        <v>600</v>
      </c>
      <c r="D8" s="12" t="n">
        <v>0.04</v>
      </c>
      <c r="E8" s="11" t="n">
        <v>730</v>
      </c>
      <c r="F8" s="11" t="n">
        <v>854</v>
      </c>
      <c r="G8" s="52" t="n">
        <v>8.542562768830649e-05</v>
      </c>
      <c r="H8" s="14" t="inlineStr">
        <is>
          <t>UN DESA + Bangladesh BMET emigration data</t>
        </is>
      </c>
      <c r="I8" s="24" t="inlineStr">
        <is>
          <t>https://www.un.org/development/desa/pd/content/international-migrant-stock</t>
        </is>
      </c>
      <c r="J8" s="54" t="inlineStr">
        <is>
          <t>MEDIUM</t>
        </is>
      </c>
      <c r="K8" s="14" t="inlineStr">
        <is>
          <t>Rapid growth in construction sector; 2024 est. ~720K (7.38%)</t>
        </is>
      </c>
    </row>
    <row r="9">
      <c r="A9" s="24" t="inlineStr">
        <is>
          <t>South Asia</t>
        </is>
      </c>
      <c r="B9" s="23" t="inlineStr">
        <is>
          <t>Nepal</t>
        </is>
      </c>
      <c r="C9" s="11" t="n">
        <v>300</v>
      </c>
      <c r="D9" s="12" t="n">
        <v>0.06</v>
      </c>
      <c r="E9" s="11" t="n">
        <v>401</v>
      </c>
      <c r="F9" s="11" t="n">
        <v>507</v>
      </c>
      <c r="G9" s="52" t="n">
        <v>5.071521456436931e-05</v>
      </c>
      <c r="H9" s="14" t="inlineStr">
        <is>
          <t>Department of Foreign Employment Nepal + ILO</t>
        </is>
      </c>
      <c r="I9" s="24" t="inlineStr">
        <is>
          <t>https://ilostat.ilo.org/data/#</t>
        </is>
      </c>
      <c r="J9" s="54" t="inlineStr">
        <is>
          <t>MEDIUM</t>
        </is>
      </c>
      <c r="K9" s="14" t="inlineStr">
        <is>
          <t>Fast-growing corridor; mostly construction &amp; hospitality</t>
        </is>
      </c>
    </row>
    <row r="10">
      <c r="A10" s="24" t="inlineStr">
        <is>
          <t>South Asia</t>
        </is>
      </c>
      <c r="B10" s="23" t="inlineStr">
        <is>
          <t>Sri Lanka</t>
        </is>
      </c>
      <c r="C10" s="11" t="n">
        <v>200</v>
      </c>
      <c r="D10" s="12" t="n">
        <v>0.01</v>
      </c>
      <c r="E10" s="11" t="n">
        <v>210</v>
      </c>
      <c r="F10" s="11" t="n">
        <v>219</v>
      </c>
      <c r="G10" s="52" t="n">
        <v>2.190657197159148e-05</v>
      </c>
      <c r="H10" s="14" t="inlineStr">
        <is>
          <t>UN DESA</t>
        </is>
      </c>
      <c r="I10" s="24" t="inlineStr">
        <is>
          <t>https://www.un.org/development/desa/pd/content/international-migrant-stock</t>
        </is>
      </c>
      <c r="J10" s="54" t="inlineStr">
        <is>
          <t>MEDIUM</t>
        </is>
      </c>
      <c r="K10" s="14" t="inlineStr">
        <is>
          <t>Slower growth; significant domestic worker presence</t>
        </is>
      </c>
    </row>
    <row r="11">
      <c r="A11" s="24" t="inlineStr">
        <is>
          <t>South Asia</t>
        </is>
      </c>
      <c r="B11" s="23" t="inlineStr">
        <is>
          <t>Afghanistan</t>
        </is>
      </c>
      <c r="C11" s="11" t="n">
        <v>60</v>
      </c>
      <c r="D11" s="12" t="n">
        <v>0.02</v>
      </c>
      <c r="E11" s="11" t="n">
        <v>66</v>
      </c>
      <c r="F11" s="11" t="n">
        <v>72</v>
      </c>
      <c r="G11" s="52" t="n">
        <v>7.202160648194458e-06</v>
      </c>
      <c r="H11" s="14" t="inlineStr">
        <is>
          <t>UNHCR + ILO</t>
        </is>
      </c>
      <c r="I11" s="24" t="inlineStr">
        <is>
          <t>https://ilostat.ilo.org/data/#</t>
        </is>
      </c>
      <c r="J11" s="55" t="inlineStr">
        <is>
          <t>LOW</t>
        </is>
      </c>
      <c r="K11" s="14" t="inlineStr">
        <is>
          <t>Small corridor; refugee + economic migration</t>
        </is>
      </c>
    </row>
    <row r="12" ht="20" customHeight="1">
      <c r="A12" s="51" t="inlineStr">
        <is>
          <t>▶  Southeast Asia</t>
        </is>
      </c>
    </row>
    <row r="13">
      <c r="A13" s="26" t="inlineStr">
        <is>
          <t>Southeast Asia</t>
        </is>
      </c>
      <c r="B13" s="25" t="inlineStr">
        <is>
          <t>Philippines</t>
        </is>
      </c>
      <c r="C13" s="27" t="n">
        <v>480</v>
      </c>
      <c r="D13" s="56" t="n">
        <v>0.03</v>
      </c>
      <c r="E13" s="27" t="n">
        <v>556</v>
      </c>
      <c r="F13" s="27" t="n">
        <v>626</v>
      </c>
      <c r="G13" s="57" t="n">
        <v>6.26187856356907e-05</v>
      </c>
      <c r="H13" s="28" t="inlineStr">
        <is>
          <t>Philippine Statistics Authority (OFW stock) + UN DESA</t>
        </is>
      </c>
      <c r="I13" s="26" t="inlineStr">
        <is>
          <t>https://psa.gov.ph/statistics/ofw</t>
        </is>
      </c>
      <c r="J13" s="53" t="inlineStr">
        <is>
          <t>HIGH</t>
        </is>
      </c>
      <c r="K13" s="28" t="inlineStr">
        <is>
          <t>Strong domestic &amp; hospitality sector; PSA OFW stock surveys</t>
        </is>
      </c>
    </row>
    <row r="14">
      <c r="A14" s="26" t="inlineStr">
        <is>
          <t>Southeast Asia</t>
        </is>
      </c>
      <c r="B14" s="25" t="inlineStr">
        <is>
          <t>Indonesia</t>
        </is>
      </c>
      <c r="C14" s="27" t="n">
        <v>80</v>
      </c>
      <c r="D14" s="56" t="n">
        <v>0.02</v>
      </c>
      <c r="E14" s="27" t="n">
        <v>88</v>
      </c>
      <c r="F14" s="27" t="n">
        <v>96</v>
      </c>
      <c r="G14" s="57" t="n">
        <v>9.602880864259278e-06</v>
      </c>
      <c r="H14" s="28" t="inlineStr">
        <is>
          <t>UN DESA + BNP2TKI Indonesia</t>
        </is>
      </c>
      <c r="I14" s="26" t="inlineStr">
        <is>
          <t>https://www.un.org/development/desa/pd/content/international-migrant-stock</t>
        </is>
      </c>
      <c r="J14" s="54" t="inlineStr">
        <is>
          <t>MEDIUM</t>
        </is>
      </c>
      <c r="K14" s="28" t="inlineStr">
        <is>
          <t>Mostly domestic workers; significant undercount</t>
        </is>
      </c>
    </row>
    <row r="15">
      <c r="A15" s="26" t="inlineStr">
        <is>
          <t>Southeast Asia</t>
        </is>
      </c>
      <c r="B15" s="25" t="inlineStr">
        <is>
          <t>Thailand</t>
        </is>
      </c>
      <c r="C15" s="27" t="n">
        <v>30</v>
      </c>
      <c r="D15" s="56" t="n">
        <v>0.01</v>
      </c>
      <c r="E15" s="27" t="n">
        <v>32</v>
      </c>
      <c r="F15" s="27" t="n">
        <v>33</v>
      </c>
      <c r="G15" s="57" t="n">
        <v>3.300990297089127e-06</v>
      </c>
      <c r="H15" s="28" t="inlineStr">
        <is>
          <t>UN DESA</t>
        </is>
      </c>
      <c r="I15" s="26" t="inlineStr">
        <is>
          <t>https://www.un.org/development/desa/pd/content/international-migrant-stock</t>
        </is>
      </c>
      <c r="J15" s="55" t="inlineStr">
        <is>
          <t>LOW</t>
        </is>
      </c>
      <c r="K15" s="28" t="inlineStr">
        <is>
          <t>Small corridor; mainly hospitality</t>
        </is>
      </c>
    </row>
    <row r="16">
      <c r="A16" s="26" t="inlineStr">
        <is>
          <t>Southeast Asia</t>
        </is>
      </c>
      <c r="B16" s="25" t="inlineStr">
        <is>
          <t>Vietnam</t>
        </is>
      </c>
      <c r="C16" s="27" t="n">
        <v>15</v>
      </c>
      <c r="D16" s="56" t="n">
        <v>0.03</v>
      </c>
      <c r="E16" s="27" t="n">
        <v>17</v>
      </c>
      <c r="F16" s="27" t="n">
        <v>20</v>
      </c>
      <c r="G16" s="57" t="n">
        <v>2.000600180054016e-06</v>
      </c>
      <c r="H16" s="28" t="inlineStr">
        <is>
          <t>UN DESA</t>
        </is>
      </c>
      <c r="I16" s="26" t="inlineStr">
        <is>
          <t>https://www.un.org/development/desa/pd/content/international-migrant-stock</t>
        </is>
      </c>
      <c r="J16" s="55" t="inlineStr">
        <is>
          <t>LOW</t>
        </is>
      </c>
      <c r="K16" s="28" t="inlineStr">
        <is>
          <t>Growing professional corridor</t>
        </is>
      </c>
    </row>
    <row r="17">
      <c r="A17" s="26" t="inlineStr">
        <is>
          <t>Southeast Asia</t>
        </is>
      </c>
      <c r="B17" s="25" t="inlineStr">
        <is>
          <t>Malaysia</t>
        </is>
      </c>
      <c r="C17" s="27" t="n">
        <v>25</v>
      </c>
      <c r="D17" s="56" t="n">
        <v>0.02</v>
      </c>
      <c r="E17" s="27" t="n">
        <v>28</v>
      </c>
      <c r="F17" s="27" t="n">
        <v>30</v>
      </c>
      <c r="G17" s="57" t="n">
        <v>3.000900270081024e-06</v>
      </c>
      <c r="H17" s="28" t="inlineStr">
        <is>
          <t>UN DESA</t>
        </is>
      </c>
      <c r="I17" s="26" t="inlineStr">
        <is>
          <t>https://www.un.org/development/desa/pd/content/international-migrant-stock</t>
        </is>
      </c>
      <c r="J17" s="55" t="inlineStr">
        <is>
          <t>LOW</t>
        </is>
      </c>
      <c r="K17" s="28" t="inlineStr">
        <is>
          <t>Mixed professional + labour</t>
        </is>
      </c>
    </row>
    <row r="18">
      <c r="A18" s="26" t="inlineStr">
        <is>
          <t>Southeast Asia</t>
        </is>
      </c>
      <c r="B18" s="25" t="inlineStr">
        <is>
          <t>Myanmar</t>
        </is>
      </c>
      <c r="C18" s="27" t="n">
        <v>8</v>
      </c>
      <c r="D18" s="56" t="n">
        <v>0.02</v>
      </c>
      <c r="E18" s="27" t="n">
        <v>9</v>
      </c>
      <c r="F18" s="27" t="n">
        <v>10</v>
      </c>
      <c r="G18" s="57" t="n">
        <v>1.000300090027008e-06</v>
      </c>
      <c r="H18" s="28" t="inlineStr">
        <is>
          <t>UN DESA</t>
        </is>
      </c>
      <c r="I18" s="26" t="inlineStr">
        <is>
          <t>https://www.un.org/development/desa/pd/content/international-migrant-stock</t>
        </is>
      </c>
      <c r="J18" s="55" t="inlineStr">
        <is>
          <t>LOW</t>
        </is>
      </c>
      <c r="K18" s="28" t="inlineStr">
        <is>
          <t>Very small corridor</t>
        </is>
      </c>
    </row>
    <row r="19" ht="20" customHeight="1">
      <c r="A19" s="51" t="inlineStr">
        <is>
          <t>▶  East Asia</t>
        </is>
      </c>
    </row>
    <row r="20">
      <c r="A20" s="30" t="inlineStr">
        <is>
          <t>East Asia</t>
        </is>
      </c>
      <c r="B20" s="29" t="inlineStr">
        <is>
          <t>China</t>
        </is>
      </c>
      <c r="C20" s="31" t="n">
        <v>150</v>
      </c>
      <c r="D20" s="58" t="n">
        <v>0.05</v>
      </c>
      <c r="E20" s="31" t="n">
        <v>191</v>
      </c>
      <c r="F20" s="31" t="n">
        <v>233</v>
      </c>
      <c r="G20" s="59" t="n">
        <v>2.330699209762929e-05</v>
      </c>
      <c r="H20" s="32" t="inlineStr">
        <is>
          <t>UN DESA + China NBS</t>
        </is>
      </c>
      <c r="I20" s="30" t="inlineStr">
        <is>
          <t>https://www.un.org/development/desa/pd/content/international-migrant-stock</t>
        </is>
      </c>
      <c r="J20" s="54" t="inlineStr">
        <is>
          <t>MEDIUM</t>
        </is>
      </c>
      <c r="K20" s="32" t="inlineStr">
        <is>
          <t>Growing trade &amp; construction; 2024 est. ~190K</t>
        </is>
      </c>
    </row>
    <row r="21">
      <c r="A21" s="30" t="inlineStr">
        <is>
          <t>East Asia</t>
        </is>
      </c>
      <c r="B21" s="29" t="inlineStr">
        <is>
          <t>South Korea</t>
        </is>
      </c>
      <c r="C21" s="31" t="n">
        <v>25</v>
      </c>
      <c r="D21" s="58" t="n">
        <v>0.02</v>
      </c>
      <c r="E21" s="31" t="n">
        <v>28</v>
      </c>
      <c r="F21" s="31" t="n">
        <v>30</v>
      </c>
      <c r="G21" s="59" t="n">
        <v>3.000900270081024e-06</v>
      </c>
      <c r="H21" s="32" t="inlineStr">
        <is>
          <t>UN DESA</t>
        </is>
      </c>
      <c r="I21" s="30" t="inlineStr">
        <is>
          <t>https://www.un.org/development/desa/pd/content/international-migrant-stock</t>
        </is>
      </c>
      <c r="J21" s="55" t="inlineStr">
        <is>
          <t>LOW</t>
        </is>
      </c>
      <c r="K21" s="32" t="inlineStr">
        <is>
          <t>Mainly professionals</t>
        </is>
      </c>
    </row>
    <row r="22">
      <c r="A22" s="30" t="inlineStr">
        <is>
          <t>East Asia</t>
        </is>
      </c>
      <c r="B22" s="29" t="inlineStr">
        <is>
          <t>Japan</t>
        </is>
      </c>
      <c r="C22" s="31" t="n">
        <v>10</v>
      </c>
      <c r="D22" s="58" t="n">
        <v>0.01</v>
      </c>
      <c r="E22" s="31" t="n">
        <v>11</v>
      </c>
      <c r="F22" s="31" t="n">
        <v>11</v>
      </c>
      <c r="G22" s="59" t="n">
        <v>1.100330099029709e-06</v>
      </c>
      <c r="H22" s="32" t="inlineStr">
        <is>
          <t>UN DESA + Ministry of Foreign Affairs Japan</t>
        </is>
      </c>
      <c r="I22" s="30" t="inlineStr">
        <is>
          <t>https://www.un.org/development/desa/pd/content/international-migrant-stock</t>
        </is>
      </c>
      <c r="J22" s="55" t="inlineStr">
        <is>
          <t>LOW</t>
        </is>
      </c>
      <c r="K22" s="32" t="inlineStr">
        <is>
          <t>Small professional corridor</t>
        </is>
      </c>
    </row>
    <row r="23">
      <c r="A23" s="30" t="inlineStr">
        <is>
          <t>East Asia</t>
        </is>
      </c>
      <c r="B23" s="29" t="inlineStr">
        <is>
          <t>Hong Kong</t>
        </is>
      </c>
      <c r="C23" s="31" t="n">
        <v>5</v>
      </c>
      <c r="D23" s="58" t="n">
        <v>0.01</v>
      </c>
      <c r="E23" s="31" t="n">
        <v>5</v>
      </c>
      <c r="F23" s="31" t="n">
        <v>5</v>
      </c>
      <c r="G23" s="59" t="n">
        <v>5.001500450135041e-07</v>
      </c>
      <c r="H23" s="32" t="inlineStr">
        <is>
          <t>UN DESA</t>
        </is>
      </c>
      <c r="I23" s="30" t="inlineStr">
        <is>
          <t>https://www.un.org/development/desa/pd/content/international-migrant-stock</t>
        </is>
      </c>
      <c r="J23" s="55" t="inlineStr">
        <is>
          <t>LOW</t>
        </is>
      </c>
      <c r="K23" s="32" t="inlineStr">
        <is>
          <t>Finance sector primarily</t>
        </is>
      </c>
    </row>
    <row r="24" ht="20" customHeight="1">
      <c r="A24" s="51" t="inlineStr">
        <is>
          <t>▶  Arab World</t>
        </is>
      </c>
    </row>
    <row r="25">
      <c r="A25" s="34" t="inlineStr">
        <is>
          <t>Arab World</t>
        </is>
      </c>
      <c r="B25" s="33" t="inlineStr">
        <is>
          <t>Egypt</t>
        </is>
      </c>
      <c r="C25" s="35" t="n">
        <v>300</v>
      </c>
      <c r="D25" s="60" t="n">
        <v>0.02</v>
      </c>
      <c r="E25" s="35" t="n">
        <v>331</v>
      </c>
      <c r="F25" s="35" t="n">
        <v>359</v>
      </c>
      <c r="G25" s="61" t="n">
        <v>3.591077323196959e-05</v>
      </c>
      <c r="H25" s="36" t="inlineStr">
        <is>
          <t>UN DESA + CAPMAS Egypt</t>
        </is>
      </c>
      <c r="I25" s="34" t="inlineStr">
        <is>
          <t>https://www.un.org/development/desa/pd/content/international-migrant-stock</t>
        </is>
      </c>
      <c r="J25" s="53" t="inlineStr">
        <is>
          <t>HIGH</t>
        </is>
      </c>
      <c r="K25" s="36" t="inlineStr">
        <is>
          <t>2024 est. ~370K (4.23% of expat pop); education &amp; services</t>
        </is>
      </c>
    </row>
    <row r="26">
      <c r="A26" s="34" t="inlineStr">
        <is>
          <t>Arab World</t>
        </is>
      </c>
      <c r="B26" s="33" t="inlineStr">
        <is>
          <t>Jordan</t>
        </is>
      </c>
      <c r="C26" s="35" t="n">
        <v>120</v>
      </c>
      <c r="D26" s="60" t="n">
        <v>0.01</v>
      </c>
      <c r="E26" s="35" t="n">
        <v>126</v>
      </c>
      <c r="F26" s="35" t="n">
        <v>131</v>
      </c>
      <c r="G26" s="61" t="n">
        <v>1.310393117935381e-05</v>
      </c>
      <c r="H26" s="36" t="inlineStr">
        <is>
          <t>UN DESA + Department of Statistics Jordan</t>
        </is>
      </c>
      <c r="I26" s="34" t="inlineStr">
        <is>
          <t>https://www.un.org/development/desa/pd/content/international-migrant-stock</t>
        </is>
      </c>
      <c r="J26" s="54" t="inlineStr">
        <is>
          <t>MEDIUM</t>
        </is>
      </c>
      <c r="K26" s="36" t="inlineStr">
        <is>
          <t>Historical corridor; financial and services sector</t>
        </is>
      </c>
    </row>
    <row r="27">
      <c r="A27" s="34" t="inlineStr">
        <is>
          <t>Arab World</t>
        </is>
      </c>
      <c r="B27" s="33" t="inlineStr">
        <is>
          <t>Lebanon</t>
        </is>
      </c>
      <c r="C27" s="35" t="n">
        <v>80</v>
      </c>
      <c r="D27" s="60" t="n">
        <v>-0.01</v>
      </c>
      <c r="E27" s="35" t="n">
        <v>76</v>
      </c>
      <c r="F27" s="35" t="n">
        <v>73</v>
      </c>
      <c r="G27" s="61" t="n">
        <v>7.302190657197159e-06</v>
      </c>
      <c r="H27" s="36" t="inlineStr">
        <is>
          <t>UN DESA + UNDP Lebanon</t>
        </is>
      </c>
      <c r="I27" s="34" t="inlineStr">
        <is>
          <t>https://www.un.org/development/desa/pd/content/international-migrant-stock</t>
        </is>
      </c>
      <c r="J27" s="54" t="inlineStr">
        <is>
          <t>MEDIUM</t>
        </is>
      </c>
      <c r="K27" s="36" t="inlineStr">
        <is>
          <t>Declining since 2019 economic crisis; brain drain outflow</t>
        </is>
      </c>
    </row>
    <row r="28">
      <c r="A28" s="34" t="inlineStr">
        <is>
          <t>Arab World</t>
        </is>
      </c>
      <c r="B28" s="33" t="inlineStr">
        <is>
          <t>Syria</t>
        </is>
      </c>
      <c r="C28" s="35" t="n">
        <v>100</v>
      </c>
      <c r="D28" s="60" t="n">
        <v>0.03</v>
      </c>
      <c r="E28" s="35" t="n">
        <v>116</v>
      </c>
      <c r="F28" s="35" t="n">
        <v>130</v>
      </c>
      <c r="G28" s="61" t="n">
        <v>1.300390117035111e-05</v>
      </c>
      <c r="H28" s="36" t="inlineStr">
        <is>
          <t>UN DESA + UNHCR</t>
        </is>
      </c>
      <c r="I28" s="34" t="inlineStr">
        <is>
          <t>https://www.un.org/development/desa/pd/content/international-migrant-stock</t>
        </is>
      </c>
      <c r="J28" s="55" t="inlineStr">
        <is>
          <t>LOW</t>
        </is>
      </c>
      <c r="K28" s="36" t="inlineStr">
        <is>
          <t>Mixed refugee + economic; volatile corridor</t>
        </is>
      </c>
    </row>
    <row r="29">
      <c r="A29" s="34" t="inlineStr">
        <is>
          <t>Arab World</t>
        </is>
      </c>
      <c r="B29" s="33" t="inlineStr">
        <is>
          <t>Yemen</t>
        </is>
      </c>
      <c r="C29" s="35" t="n">
        <v>80</v>
      </c>
      <c r="D29" s="60" t="n">
        <v>0.02</v>
      </c>
      <c r="E29" s="35" t="n">
        <v>88</v>
      </c>
      <c r="F29" s="35" t="n">
        <v>96</v>
      </c>
      <c r="G29" s="61" t="n">
        <v>9.602880864259278e-06</v>
      </c>
      <c r="H29" s="36" t="inlineStr">
        <is>
          <t>UN DESA</t>
        </is>
      </c>
      <c r="I29" s="34" t="inlineStr">
        <is>
          <t>https://www.un.org/development/desa/pd/content/international-migrant-stock</t>
        </is>
      </c>
      <c r="J29" s="55" t="inlineStr">
        <is>
          <t>LOW</t>
        </is>
      </c>
      <c r="K29" s="36" t="inlineStr">
        <is>
          <t>Conflict-driven; FCSC data sparse</t>
        </is>
      </c>
    </row>
    <row r="30">
      <c r="A30" s="34" t="inlineStr">
        <is>
          <t>Arab World</t>
        </is>
      </c>
      <c r="B30" s="33" t="inlineStr">
        <is>
          <t>Sudan</t>
        </is>
      </c>
      <c r="C30" s="35" t="n">
        <v>50</v>
      </c>
      <c r="D30" s="60" t="n">
        <v>0.03</v>
      </c>
      <c r="E30" s="35" t="n">
        <v>58</v>
      </c>
      <c r="F30" s="35" t="n">
        <v>65</v>
      </c>
      <c r="G30" s="61" t="n">
        <v>6.501950585175553e-06</v>
      </c>
      <c r="H30" s="36" t="inlineStr">
        <is>
          <t>UN DESA</t>
        </is>
      </c>
      <c r="I30" s="34" t="inlineStr">
        <is>
          <t>https://www.un.org/development/desa/pd/content/international-migrant-stock</t>
        </is>
      </c>
      <c r="J30" s="55" t="inlineStr">
        <is>
          <t>LOW</t>
        </is>
      </c>
      <c r="K30" s="36" t="inlineStr">
        <is>
          <t>Growing corridor; service sector</t>
        </is>
      </c>
    </row>
    <row r="31">
      <c r="A31" s="34" t="inlineStr">
        <is>
          <t>Arab World</t>
        </is>
      </c>
      <c r="B31" s="33" t="inlineStr">
        <is>
          <t>Morocco</t>
        </is>
      </c>
      <c r="C31" s="35" t="n">
        <v>40</v>
      </c>
      <c r="D31" s="60" t="n">
        <v>0.02</v>
      </c>
      <c r="E31" s="35" t="n">
        <v>44</v>
      </c>
      <c r="F31" s="35" t="n">
        <v>48</v>
      </c>
      <c r="G31" s="61" t="n">
        <v>4.801440432129639e-06</v>
      </c>
      <c r="H31" s="36" t="inlineStr">
        <is>
          <t>UN DESA + Moroccan HCP</t>
        </is>
      </c>
      <c r="I31" s="34" t="inlineStr">
        <is>
          <t>https://www.un.org/development/desa/pd/content/international-migrant-stock</t>
        </is>
      </c>
      <c r="J31" s="55" t="inlineStr">
        <is>
          <t>LOW</t>
        </is>
      </c>
      <c r="K31" s="36" t="inlineStr">
        <is>
          <t>Small but steady corridor</t>
        </is>
      </c>
    </row>
    <row r="32">
      <c r="A32" s="34" t="inlineStr">
        <is>
          <t>Arab World</t>
        </is>
      </c>
      <c r="B32" s="33" t="inlineStr">
        <is>
          <t>Iraq</t>
        </is>
      </c>
      <c r="C32" s="35" t="n">
        <v>45</v>
      </c>
      <c r="D32" s="60" t="n">
        <v>0.02</v>
      </c>
      <c r="E32" s="35" t="n">
        <v>50</v>
      </c>
      <c r="F32" s="35" t="n">
        <v>54</v>
      </c>
      <c r="G32" s="61" t="n">
        <v>5.401620486145844e-06</v>
      </c>
      <c r="H32" s="36" t="inlineStr">
        <is>
          <t>UN DESA</t>
        </is>
      </c>
      <c r="I32" s="34" t="inlineStr">
        <is>
          <t>https://www.un.org/development/desa/pd/content/international-migrant-stock</t>
        </is>
      </c>
      <c r="J32" s="55" t="inlineStr">
        <is>
          <t>LOW</t>
        </is>
      </c>
      <c r="K32" s="36" t="inlineStr">
        <is>
          <t>Growing post-2017</t>
        </is>
      </c>
    </row>
    <row r="33">
      <c r="A33" s="34" t="inlineStr">
        <is>
          <t>Arab World</t>
        </is>
      </c>
      <c r="B33" s="33" t="inlineStr">
        <is>
          <t>Tunisia</t>
        </is>
      </c>
      <c r="C33" s="35" t="n">
        <v>20</v>
      </c>
      <c r="D33" s="60" t="n">
        <v>0.01</v>
      </c>
      <c r="E33" s="35" t="n">
        <v>21</v>
      </c>
      <c r="F33" s="35" t="n">
        <v>22</v>
      </c>
      <c r="G33" s="61" t="n">
        <v>2.200660198059418e-06</v>
      </c>
      <c r="H33" s="36" t="inlineStr">
        <is>
          <t>UN DESA</t>
        </is>
      </c>
      <c r="I33" s="34" t="inlineStr">
        <is>
          <t>https://www.un.org/development/desa/pd/content/international-migrant-stock</t>
        </is>
      </c>
      <c r="J33" s="55" t="inlineStr">
        <is>
          <t>LOW</t>
        </is>
      </c>
      <c r="K33" s="36" t="inlineStr">
        <is>
          <t>Small professional corridor</t>
        </is>
      </c>
    </row>
    <row r="34">
      <c r="A34" s="34" t="inlineStr">
        <is>
          <t>Arab World</t>
        </is>
      </c>
      <c r="B34" s="33" t="inlineStr">
        <is>
          <t>Palestine</t>
        </is>
      </c>
      <c r="C34" s="35" t="n">
        <v>50</v>
      </c>
      <c r="D34" s="60" t="n">
        <v>0.01</v>
      </c>
      <c r="E34" s="35" t="n">
        <v>53</v>
      </c>
      <c r="F34" s="35" t="n">
        <v>55</v>
      </c>
      <c r="G34" s="61" t="n">
        <v>5.501650495148545e-06</v>
      </c>
      <c r="H34" s="36" t="inlineStr">
        <is>
          <t>UN DESA + UNRWA</t>
        </is>
      </c>
      <c r="I34" s="34" t="inlineStr">
        <is>
          <t>https://www.un.org/development/desa/pd/content/international-migrant-stock</t>
        </is>
      </c>
      <c r="J34" s="55" t="inlineStr">
        <is>
          <t>LOW</t>
        </is>
      </c>
      <c r="K34" s="36" t="inlineStr">
        <is>
          <t>Stable long-term community</t>
        </is>
      </c>
    </row>
    <row r="35" ht="20" customHeight="1">
      <c r="A35" s="51" t="inlineStr">
        <is>
          <t>▶  Sub-Saharan Africa</t>
        </is>
      </c>
    </row>
    <row r="36">
      <c r="A36" s="38" t="inlineStr">
        <is>
          <t>Sub-Saharan Africa</t>
        </is>
      </c>
      <c r="B36" s="37" t="inlineStr">
        <is>
          <t>Ethiopia</t>
        </is>
      </c>
      <c r="C36" s="39" t="n">
        <v>50</v>
      </c>
      <c r="D36" s="62" t="n">
        <v>0.05</v>
      </c>
      <c r="E36" s="39" t="n">
        <v>64</v>
      </c>
      <c r="F36" s="39" t="n">
        <v>78</v>
      </c>
      <c r="G36" s="63" t="n">
        <v>7.802340702210663e-06</v>
      </c>
      <c r="H36" s="40" t="inlineStr">
        <is>
          <t>UN DESA + IOM</t>
        </is>
      </c>
      <c r="I36" s="38" t="inlineStr">
        <is>
          <t>https://www.un.org/development/desa/pd/content/international-migrant-stock</t>
        </is>
      </c>
      <c r="J36" s="55" t="inlineStr">
        <is>
          <t>LOW</t>
        </is>
      </c>
      <c r="K36" s="40" t="inlineStr">
        <is>
          <t>Fastest growing corridor; domestic workers + services</t>
        </is>
      </c>
    </row>
    <row r="37">
      <c r="A37" s="38" t="inlineStr">
        <is>
          <t>Sub-Saharan Africa</t>
        </is>
      </c>
      <c r="B37" s="37" t="inlineStr">
        <is>
          <t>Nigeria</t>
        </is>
      </c>
      <c r="C37" s="39" t="n">
        <v>25</v>
      </c>
      <c r="D37" s="62" t="n">
        <v>0.04</v>
      </c>
      <c r="E37" s="39" t="n">
        <v>30</v>
      </c>
      <c r="F37" s="39" t="n">
        <v>36</v>
      </c>
      <c r="G37" s="63" t="n">
        <v>3.601080324097229e-06</v>
      </c>
      <c r="H37" s="40" t="inlineStr">
        <is>
          <t>UN DESA</t>
        </is>
      </c>
      <c r="I37" s="38" t="inlineStr">
        <is>
          <t>https://www.un.org/development/desa/pd/content/international-migrant-stock</t>
        </is>
      </c>
      <c r="J37" s="55" t="inlineStr">
        <is>
          <t>LOW</t>
        </is>
      </c>
      <c r="K37" s="40" t="inlineStr">
        <is>
          <t>Growing corridor; hospitality + professional</t>
        </is>
      </c>
    </row>
    <row r="38">
      <c r="A38" s="38" t="inlineStr">
        <is>
          <t>Sub-Saharan Africa</t>
        </is>
      </c>
      <c r="B38" s="37" t="inlineStr">
        <is>
          <t>Kenya</t>
        </is>
      </c>
      <c r="C38" s="39" t="n">
        <v>20</v>
      </c>
      <c r="D38" s="62" t="n">
        <v>0.03</v>
      </c>
      <c r="E38" s="39" t="n">
        <v>23</v>
      </c>
      <c r="F38" s="39" t="n">
        <v>26</v>
      </c>
      <c r="G38" s="63" t="n">
        <v>2.600780234070221e-06</v>
      </c>
      <c r="H38" s="40" t="inlineStr">
        <is>
          <t>UN DESA</t>
        </is>
      </c>
      <c r="I38" s="38" t="inlineStr">
        <is>
          <t>https://www.un.org/development/desa/pd/content/international-migrant-stock</t>
        </is>
      </c>
      <c r="J38" s="55" t="inlineStr">
        <is>
          <t>LOW</t>
        </is>
      </c>
      <c r="K38" s="40" t="inlineStr">
        <is>
          <t>Skilled professionals</t>
        </is>
      </c>
    </row>
    <row r="39">
      <c r="A39" s="38" t="inlineStr">
        <is>
          <t>Sub-Saharan Africa</t>
        </is>
      </c>
      <c r="B39" s="37" t="inlineStr">
        <is>
          <t>Somalia</t>
        </is>
      </c>
      <c r="C39" s="39" t="n">
        <v>30</v>
      </c>
      <c r="D39" s="62" t="n">
        <v>0.03</v>
      </c>
      <c r="E39" s="39" t="n">
        <v>35</v>
      </c>
      <c r="F39" s="39" t="n">
        <v>39</v>
      </c>
      <c r="G39" s="63" t="n">
        <v>3.901170351105332e-06</v>
      </c>
      <c r="H39" s="40" t="inlineStr">
        <is>
          <t>UN DESA + UNHCR</t>
        </is>
      </c>
      <c r="I39" s="38" t="inlineStr">
        <is>
          <t>https://www.un.org/development/desa/pd/content/international-migrant-stock</t>
        </is>
      </c>
      <c r="J39" s="55" t="inlineStr">
        <is>
          <t>LOW</t>
        </is>
      </c>
      <c r="K39" s="40" t="inlineStr">
        <is>
          <t>Mixed economic + asylum seekers; undercount likely high</t>
        </is>
      </c>
    </row>
    <row r="40">
      <c r="A40" s="38" t="inlineStr">
        <is>
          <t>Sub-Saharan Africa</t>
        </is>
      </c>
      <c r="B40" s="37" t="inlineStr">
        <is>
          <t>Ghana</t>
        </is>
      </c>
      <c r="C40" s="39" t="n">
        <v>10</v>
      </c>
      <c r="D40" s="62" t="n">
        <v>0.03</v>
      </c>
      <c r="E40" s="39" t="n">
        <v>12</v>
      </c>
      <c r="F40" s="39" t="n">
        <v>13</v>
      </c>
      <c r="G40" s="63" t="n">
        <v>1.30039011703511e-06</v>
      </c>
      <c r="H40" s="40" t="inlineStr">
        <is>
          <t>UN DESA</t>
        </is>
      </c>
      <c r="I40" s="38" t="inlineStr">
        <is>
          <t>https://www.un.org/development/desa/pd/content/international-migrant-stock</t>
        </is>
      </c>
      <c r="J40" s="55" t="inlineStr">
        <is>
          <t>LOW</t>
        </is>
      </c>
      <c r="K40" s="40" t="inlineStr">
        <is>
          <t>Small corridor</t>
        </is>
      </c>
    </row>
    <row r="41">
      <c r="A41" s="38" t="inlineStr">
        <is>
          <t>Sub-Saharan Africa</t>
        </is>
      </c>
      <c r="B41" s="37" t="inlineStr">
        <is>
          <t>Uganda</t>
        </is>
      </c>
      <c r="C41" s="39" t="n">
        <v>8</v>
      </c>
      <c r="D41" s="62" t="n">
        <v>0.03</v>
      </c>
      <c r="E41" s="39" t="n">
        <v>9</v>
      </c>
      <c r="F41" s="39" t="n">
        <v>10</v>
      </c>
      <c r="G41" s="63" t="n">
        <v>1.000300090027008e-06</v>
      </c>
      <c r="H41" s="40" t="inlineStr">
        <is>
          <t>UN DESA</t>
        </is>
      </c>
      <c r="I41" s="38" t="inlineStr">
        <is>
          <t>https://www.un.org/development/desa/pd/content/international-migrant-stock</t>
        </is>
      </c>
      <c r="J41" s="55" t="inlineStr">
        <is>
          <t>LOW</t>
        </is>
      </c>
      <c r="K41" s="40" t="inlineStr">
        <is>
          <t>Small but growing</t>
        </is>
      </c>
    </row>
    <row r="42">
      <c r="A42" s="38" t="inlineStr">
        <is>
          <t>Sub-Saharan Africa</t>
        </is>
      </c>
      <c r="B42" s="37" t="inlineStr">
        <is>
          <t>Tanzania</t>
        </is>
      </c>
      <c r="C42" s="39" t="n">
        <v>5</v>
      </c>
      <c r="D42" s="62" t="n">
        <v>0.03</v>
      </c>
      <c r="E42" s="39" t="n">
        <v>6</v>
      </c>
      <c r="F42" s="39" t="n">
        <v>7</v>
      </c>
      <c r="G42" s="63" t="n">
        <v>7.002100630189056e-07</v>
      </c>
      <c r="H42" s="40" t="inlineStr">
        <is>
          <t>UN DESA</t>
        </is>
      </c>
      <c r="I42" s="38" t="inlineStr">
        <is>
          <t>https://www.un.org/development/desa/pd/content/international-migrant-stock</t>
        </is>
      </c>
      <c r="J42" s="55" t="inlineStr">
        <is>
          <t>LOW</t>
        </is>
      </c>
      <c r="K42" s="40" t="inlineStr">
        <is>
          <t>Very small</t>
        </is>
      </c>
    </row>
    <row r="43">
      <c r="A43" s="38" t="inlineStr">
        <is>
          <t>Sub-Saharan Africa</t>
        </is>
      </c>
      <c r="B43" s="37" t="inlineStr">
        <is>
          <t>Cameroon</t>
        </is>
      </c>
      <c r="C43" s="39" t="n">
        <v>5</v>
      </c>
      <c r="D43" s="62" t="n">
        <v>0.02</v>
      </c>
      <c r="E43" s="39" t="n">
        <v>6</v>
      </c>
      <c r="F43" s="39" t="n">
        <v>6</v>
      </c>
      <c r="G43" s="63" t="n">
        <v>6.001800540162049e-07</v>
      </c>
      <c r="H43" s="40" t="inlineStr">
        <is>
          <t>UN DESA</t>
        </is>
      </c>
      <c r="I43" s="38" t="inlineStr">
        <is>
          <t>https://www.un.org/development/desa/pd/content/international-migrant-stock</t>
        </is>
      </c>
      <c r="J43" s="55" t="inlineStr">
        <is>
          <t>LOW</t>
        </is>
      </c>
      <c r="K43" s="40" t="inlineStr">
        <is>
          <t>Very small</t>
        </is>
      </c>
    </row>
    <row r="44">
      <c r="A44" s="38" t="inlineStr">
        <is>
          <t>Sub-Saharan Africa</t>
        </is>
      </c>
      <c r="B44" s="37" t="inlineStr">
        <is>
          <t>Senegal</t>
        </is>
      </c>
      <c r="C44" s="39" t="n">
        <v>3</v>
      </c>
      <c r="D44" s="62" t="n">
        <v>0.03</v>
      </c>
      <c r="E44" s="39" t="n">
        <v>3</v>
      </c>
      <c r="F44" s="39" t="n">
        <v>4</v>
      </c>
      <c r="G44" s="63" t="n">
        <v>4.001200360108033e-07</v>
      </c>
      <c r="H44" s="40" t="inlineStr">
        <is>
          <t>UN DESA</t>
        </is>
      </c>
      <c r="I44" s="38" t="inlineStr">
        <is>
          <t>https://www.un.org/development/desa/pd/content/international-migrant-stock</t>
        </is>
      </c>
      <c r="J44" s="55" t="inlineStr">
        <is>
          <t>LOW</t>
        </is>
      </c>
      <c r="K44" s="40" t="inlineStr">
        <is>
          <t>Very small</t>
        </is>
      </c>
    </row>
    <row r="45" ht="20" customHeight="1">
      <c r="A45" s="51" t="inlineStr">
        <is>
          <t>▶  Europe</t>
        </is>
      </c>
    </row>
    <row r="46">
      <c r="A46" s="42" t="inlineStr">
        <is>
          <t>Europe</t>
        </is>
      </c>
      <c r="B46" s="41" t="inlineStr">
        <is>
          <t>United Kingdom</t>
        </is>
      </c>
      <c r="C46" s="43" t="n">
        <v>120</v>
      </c>
      <c r="D46" s="64" t="n">
        <v>0.01</v>
      </c>
      <c r="E46" s="43" t="n">
        <v>126</v>
      </c>
      <c r="F46" s="43" t="n">
        <v>131</v>
      </c>
      <c r="G46" s="65" t="n">
        <v>1.310393117935381e-05</v>
      </c>
      <c r="H46" s="44" t="inlineStr">
        <is>
          <t>ONS IPPS + UN DESA</t>
        </is>
      </c>
      <c r="I46" s="42" t="inlineStr">
        <is>
          <t>https://www.ons.gov.uk/peoplepopulationandcommunity/populationandmigration</t>
        </is>
      </c>
      <c r="J46" s="53" t="inlineStr">
        <is>
          <t>HIGH</t>
        </is>
      </c>
      <c r="K46" s="44" t="inlineStr">
        <is>
          <t>Large professional diaspora; finance &amp; management</t>
        </is>
      </c>
    </row>
    <row r="47">
      <c r="A47" s="42" t="inlineStr">
        <is>
          <t>Europe</t>
        </is>
      </c>
      <c r="B47" s="41" t="inlineStr">
        <is>
          <t>Germany</t>
        </is>
      </c>
      <c r="C47" s="43" t="n">
        <v>30</v>
      </c>
      <c r="D47" s="64" t="n">
        <v>0.02</v>
      </c>
      <c r="E47" s="43" t="n">
        <v>33</v>
      </c>
      <c r="F47" s="43" t="n">
        <v>36</v>
      </c>
      <c r="G47" s="65" t="n">
        <v>3.601080324097229e-06</v>
      </c>
      <c r="H47" s="44" t="inlineStr">
        <is>
          <t>UN DESA + Destatis</t>
        </is>
      </c>
      <c r="I47" s="42" t="inlineStr">
        <is>
          <t>https://www.un.org/development/desa/pd/content/international-migrant-stock</t>
        </is>
      </c>
      <c r="J47" s="54" t="inlineStr">
        <is>
          <t>MEDIUM</t>
        </is>
      </c>
      <c r="K47" s="44" t="inlineStr">
        <is>
          <t>Professionals + engineering</t>
        </is>
      </c>
    </row>
    <row r="48">
      <c r="A48" s="42" t="inlineStr">
        <is>
          <t>Europe</t>
        </is>
      </c>
      <c r="B48" s="41" t="inlineStr">
        <is>
          <t>France</t>
        </is>
      </c>
      <c r="C48" s="43" t="n">
        <v>25</v>
      </c>
      <c r="D48" s="64" t="n">
        <v>0.02</v>
      </c>
      <c r="E48" s="43" t="n">
        <v>28</v>
      </c>
      <c r="F48" s="43" t="n">
        <v>30</v>
      </c>
      <c r="G48" s="65" t="n">
        <v>3.000900270081024e-06</v>
      </c>
      <c r="H48" s="44" t="inlineStr">
        <is>
          <t>UN DESA + INSEE</t>
        </is>
      </c>
      <c r="I48" s="42" t="inlineStr">
        <is>
          <t>https://www.un.org/development/desa/pd/content/international-migrant-stock</t>
        </is>
      </c>
      <c r="J48" s="54" t="inlineStr">
        <is>
          <t>MEDIUM</t>
        </is>
      </c>
      <c r="K48" s="44" t="inlineStr">
        <is>
          <t>Professionals</t>
        </is>
      </c>
    </row>
    <row r="49">
      <c r="A49" s="42" t="inlineStr">
        <is>
          <t>Europe</t>
        </is>
      </c>
      <c r="B49" s="41" t="inlineStr">
        <is>
          <t>Italy</t>
        </is>
      </c>
      <c r="C49" s="43" t="n">
        <v>15</v>
      </c>
      <c r="D49" s="64" t="n">
        <v>0.01</v>
      </c>
      <c r="E49" s="43" t="n">
        <v>16</v>
      </c>
      <c r="F49" s="43" t="n">
        <v>16</v>
      </c>
      <c r="G49" s="65" t="n">
        <v>1.600480144043213e-06</v>
      </c>
      <c r="H49" s="44" t="inlineStr">
        <is>
          <t>UN DESA</t>
        </is>
      </c>
      <c r="I49" s="42" t="inlineStr">
        <is>
          <t>https://www.un.org/development/desa/pd/content/international-migrant-stock</t>
        </is>
      </c>
      <c r="J49" s="55" t="inlineStr">
        <is>
          <t>LOW</t>
        </is>
      </c>
      <c r="K49" s="44" t="inlineStr">
        <is>
          <t>Small professional corridor</t>
        </is>
      </c>
    </row>
    <row r="50">
      <c r="A50" s="42" t="inlineStr">
        <is>
          <t>Europe</t>
        </is>
      </c>
      <c r="B50" s="41" t="inlineStr">
        <is>
          <t>Spain</t>
        </is>
      </c>
      <c r="C50" s="43" t="n">
        <v>10</v>
      </c>
      <c r="D50" s="64" t="n">
        <v>0.01</v>
      </c>
      <c r="E50" s="43" t="n">
        <v>11</v>
      </c>
      <c r="F50" s="43" t="n">
        <v>11</v>
      </c>
      <c r="G50" s="65" t="n">
        <v>1.100330099029709e-06</v>
      </c>
      <c r="H50" s="44" t="inlineStr">
        <is>
          <t>UN DESA</t>
        </is>
      </c>
      <c r="I50" s="42" t="inlineStr">
        <is>
          <t>https://www.un.org/development/desa/pd/content/international-migrant-stock</t>
        </is>
      </c>
      <c r="J50" s="55" t="inlineStr">
        <is>
          <t>LOW</t>
        </is>
      </c>
      <c r="K50" s="44" t="inlineStr">
        <is>
          <t>Small</t>
        </is>
      </c>
    </row>
    <row r="51">
      <c r="A51" s="42" t="inlineStr">
        <is>
          <t>Europe</t>
        </is>
      </c>
      <c r="B51" s="41" t="inlineStr">
        <is>
          <t>Netherlands</t>
        </is>
      </c>
      <c r="C51" s="43" t="n">
        <v>10</v>
      </c>
      <c r="D51" s="64" t="n">
        <v>0.02</v>
      </c>
      <c r="E51" s="43" t="n">
        <v>11</v>
      </c>
      <c r="F51" s="43" t="n">
        <v>12</v>
      </c>
      <c r="G51" s="65" t="n">
        <v>1.20036010803241e-06</v>
      </c>
      <c r="H51" s="44" t="inlineStr">
        <is>
          <t>UN DESA + CBS Netherlands</t>
        </is>
      </c>
      <c r="I51" s="42" t="inlineStr">
        <is>
          <t>https://www.un.org/development/desa/pd/content/international-migrant-stock</t>
        </is>
      </c>
      <c r="J51" s="55" t="inlineStr">
        <is>
          <t>LOW</t>
        </is>
      </c>
      <c r="K51" s="44" t="inlineStr">
        <is>
          <t>Small; finance sector</t>
        </is>
      </c>
    </row>
    <row r="52">
      <c r="A52" s="42" t="inlineStr">
        <is>
          <t>Europe</t>
        </is>
      </c>
      <c r="B52" s="41" t="inlineStr">
        <is>
          <t>Russia</t>
        </is>
      </c>
      <c r="C52" s="43" t="n">
        <v>35</v>
      </c>
      <c r="D52" s="64" t="n">
        <v>0.01</v>
      </c>
      <c r="E52" s="43" t="n">
        <v>37</v>
      </c>
      <c r="F52" s="43" t="n">
        <v>38</v>
      </c>
      <c r="G52" s="65" t="n">
        <v>3.801140342102631e-06</v>
      </c>
      <c r="H52" s="44" t="inlineStr">
        <is>
          <t>UN DESA + Rosstat</t>
        </is>
      </c>
      <c r="I52" s="42" t="inlineStr">
        <is>
          <t>https://www.un.org/development/desa/pd/content/international-migrant-stock</t>
        </is>
      </c>
      <c r="J52" s="54" t="inlineStr">
        <is>
          <t>MEDIUM</t>
        </is>
      </c>
      <c r="K52" s="44" t="inlineStr">
        <is>
          <t>Mixed business + professionals</t>
        </is>
      </c>
    </row>
    <row r="53">
      <c r="A53" s="42" t="inlineStr">
        <is>
          <t>Europe</t>
        </is>
      </c>
      <c r="B53" s="41" t="inlineStr">
        <is>
          <t>Ukraine</t>
        </is>
      </c>
      <c r="C53" s="43" t="n">
        <v>15</v>
      </c>
      <c r="D53" s="64" t="n">
        <v>0.04</v>
      </c>
      <c r="E53" s="43" t="n">
        <v>18</v>
      </c>
      <c r="F53" s="43" t="n">
        <v>21</v>
      </c>
      <c r="G53" s="65" t="n">
        <v>2.100630189056717e-06</v>
      </c>
      <c r="H53" s="44" t="inlineStr">
        <is>
          <t>UN DESA + IOM Ukraine</t>
        </is>
      </c>
      <c r="I53" s="42" t="inlineStr">
        <is>
          <t>https://www.un.org/development/desa/pd/content/international-migrant-stock</t>
        </is>
      </c>
      <c r="J53" s="54" t="inlineStr">
        <is>
          <t>MEDIUM</t>
        </is>
      </c>
      <c r="K53" s="44" t="inlineStr">
        <is>
          <t>Rapid surge post-2022 war displacement</t>
        </is>
      </c>
    </row>
    <row r="54">
      <c r="A54" s="42" t="inlineStr">
        <is>
          <t>Europe</t>
        </is>
      </c>
      <c r="B54" s="41" t="inlineStr">
        <is>
          <t>Romania</t>
        </is>
      </c>
      <c r="C54" s="43" t="n">
        <v>8</v>
      </c>
      <c r="D54" s="64" t="n">
        <v>0.02</v>
      </c>
      <c r="E54" s="43" t="n">
        <v>9</v>
      </c>
      <c r="F54" s="43" t="n">
        <v>10</v>
      </c>
      <c r="G54" s="65" t="n">
        <v>1.000300090027008e-06</v>
      </c>
      <c r="H54" s="44" t="inlineStr">
        <is>
          <t>UN DESA</t>
        </is>
      </c>
      <c r="I54" s="42" t="inlineStr">
        <is>
          <t>https://www.un.org/development/desa/pd/content/international-migrant-stock</t>
        </is>
      </c>
      <c r="J54" s="55" t="inlineStr">
        <is>
          <t>LOW</t>
        </is>
      </c>
      <c r="K54" s="44" t="inlineStr">
        <is>
          <t>Construction + services</t>
        </is>
      </c>
    </row>
    <row r="55" ht="20" customHeight="1">
      <c r="A55" s="51" t="inlineStr">
        <is>
          <t>▶  Americas &amp; Oceania</t>
        </is>
      </c>
    </row>
    <row r="56">
      <c r="A56" s="66" t="inlineStr">
        <is>
          <t>Americas &amp; Oceania</t>
        </is>
      </c>
      <c r="B56" s="67" t="inlineStr">
        <is>
          <t>United States</t>
        </is>
      </c>
      <c r="C56" s="68" t="n">
        <v>55</v>
      </c>
      <c r="D56" s="69" t="n">
        <v>0.02</v>
      </c>
      <c r="E56" s="68" t="n">
        <v>61</v>
      </c>
      <c r="F56" s="68" t="n">
        <v>66</v>
      </c>
      <c r="G56" s="70" t="n">
        <v>6.601980594178253e-06</v>
      </c>
      <c r="H56" s="71" t="inlineStr">
        <is>
          <t>UN DESA + US State Dept. ACSA data</t>
        </is>
      </c>
      <c r="I56" s="66" t="inlineStr">
        <is>
          <t>https://www.un.org/development/desa/pd/content/international-migrant-stock</t>
        </is>
      </c>
      <c r="J56" s="54" t="inlineStr">
        <is>
          <t>MEDIUM</t>
        </is>
      </c>
      <c r="K56" s="71" t="inlineStr">
        <is>
          <t>Finance, technology, management professionals</t>
        </is>
      </c>
    </row>
    <row r="57">
      <c r="A57" s="66" t="inlineStr">
        <is>
          <t>Americas &amp; Oceania</t>
        </is>
      </c>
      <c r="B57" s="67" t="inlineStr">
        <is>
          <t>Canada</t>
        </is>
      </c>
      <c r="C57" s="68" t="n">
        <v>25</v>
      </c>
      <c r="D57" s="69" t="n">
        <v>0.02</v>
      </c>
      <c r="E57" s="68" t="n">
        <v>28</v>
      </c>
      <c r="F57" s="68" t="n">
        <v>30</v>
      </c>
      <c r="G57" s="70" t="n">
        <v>3.000900270081024e-06</v>
      </c>
      <c r="H57" s="71" t="inlineStr">
        <is>
          <t>UN DESA + Statistics Canada</t>
        </is>
      </c>
      <c r="I57" s="66" t="inlineStr">
        <is>
          <t>https://www.un.org/development/desa/pd/content/international-migrant-stock</t>
        </is>
      </c>
      <c r="J57" s="55" t="inlineStr">
        <is>
          <t>LOW</t>
        </is>
      </c>
      <c r="K57" s="71" t="inlineStr">
        <is>
          <t>Professionals</t>
        </is>
      </c>
    </row>
    <row r="58">
      <c r="A58" s="66" t="inlineStr">
        <is>
          <t>Americas &amp; Oceania</t>
        </is>
      </c>
      <c r="B58" s="67" t="inlineStr">
        <is>
          <t>Brazil</t>
        </is>
      </c>
      <c r="C58" s="68" t="n">
        <v>10</v>
      </c>
      <c r="D58" s="69" t="n">
        <v>0.03</v>
      </c>
      <c r="E58" s="68" t="n">
        <v>12</v>
      </c>
      <c r="F58" s="68" t="n">
        <v>13</v>
      </c>
      <c r="G58" s="70" t="n">
        <v>1.30039011703511e-06</v>
      </c>
      <c r="H58" s="71" t="inlineStr">
        <is>
          <t>UN DESA</t>
        </is>
      </c>
      <c r="I58" s="66" t="inlineStr">
        <is>
          <t>https://www.un.org/development/desa/pd/content/international-migrant-stock</t>
        </is>
      </c>
      <c r="J58" s="55" t="inlineStr">
        <is>
          <t>LOW</t>
        </is>
      </c>
      <c r="K58" s="71" t="inlineStr">
        <is>
          <t>Growing corridor; services &amp; construction</t>
        </is>
      </c>
    </row>
    <row r="59">
      <c r="A59" s="66" t="inlineStr">
        <is>
          <t>Americas &amp; Oceania</t>
        </is>
      </c>
      <c r="B59" s="67" t="inlineStr">
        <is>
          <t>Australia</t>
        </is>
      </c>
      <c r="C59" s="68" t="n">
        <v>15</v>
      </c>
      <c r="D59" s="69" t="n">
        <v>0.01</v>
      </c>
      <c r="E59" s="68" t="n">
        <v>16</v>
      </c>
      <c r="F59" s="68" t="n">
        <v>16</v>
      </c>
      <c r="G59" s="70" t="n">
        <v>1.600480144043213e-06</v>
      </c>
      <c r="H59" s="71" t="inlineStr">
        <is>
          <t>UN DESA + ABS Australia</t>
        </is>
      </c>
      <c r="I59" s="66" t="inlineStr">
        <is>
          <t>https://www.un.org/development/desa/pd/content/international-migrant-stock</t>
        </is>
      </c>
      <c r="J59" s="55" t="inlineStr">
        <is>
          <t>LOW</t>
        </is>
      </c>
      <c r="K59" s="71" t="inlineStr">
        <is>
          <t>Professionals</t>
        </is>
      </c>
    </row>
    <row r="60">
      <c r="A60" s="66" t="inlineStr">
        <is>
          <t>Americas &amp; Oceania</t>
        </is>
      </c>
      <c r="B60" s="67" t="inlineStr">
        <is>
          <t>New Zealand</t>
        </is>
      </c>
      <c r="C60" s="68" t="n">
        <v>5</v>
      </c>
      <c r="D60" s="69" t="n">
        <v>0.01</v>
      </c>
      <c r="E60" s="68" t="n">
        <v>5</v>
      </c>
      <c r="F60" s="68" t="n">
        <v>5</v>
      </c>
      <c r="G60" s="70" t="n">
        <v>5.001500450135041e-07</v>
      </c>
      <c r="H60" s="71" t="inlineStr">
        <is>
          <t>UN DESA</t>
        </is>
      </c>
      <c r="I60" s="66" t="inlineStr">
        <is>
          <t>https://www.un.org/development/desa/pd/content/international-migrant-stock</t>
        </is>
      </c>
      <c r="J60" s="55" t="inlineStr">
        <is>
          <t>LOW</t>
        </is>
      </c>
      <c r="K60" s="71" t="inlineStr">
        <is>
          <t>Very small professional corridor</t>
        </is>
      </c>
    </row>
    <row r="61" ht="20" customHeight="1">
      <c r="A61" s="51" t="inlineStr">
        <is>
          <t>▶  Central Asia</t>
        </is>
      </c>
    </row>
    <row r="62">
      <c r="A62" s="46" t="inlineStr">
        <is>
          <t>Central Asia</t>
        </is>
      </c>
      <c r="B62" s="45" t="inlineStr">
        <is>
          <t>Uzbekistan</t>
        </is>
      </c>
      <c r="C62" s="47" t="n">
        <v>40</v>
      </c>
      <c r="D62" s="72" t="n">
        <v>0.08</v>
      </c>
      <c r="E62" s="47" t="n">
        <v>59</v>
      </c>
      <c r="F62" s="47" t="n">
        <v>80</v>
      </c>
      <c r="G62" s="73" t="n">
        <v>8.002400720216065e-06</v>
      </c>
      <c r="H62" s="48" t="inlineStr">
        <is>
          <t>UN DESA + Uzbekistan Agency for External Labour Migration</t>
        </is>
      </c>
      <c r="I62" s="46" t="inlineStr">
        <is>
          <t>https://www.un.org/development/desa/pd/content/international-migrant-stock</t>
        </is>
      </c>
      <c r="J62" s="54" t="inlineStr">
        <is>
          <t>MEDIUM</t>
        </is>
      </c>
      <c r="K62" s="48" t="inlineStr">
        <is>
          <t>Fastest growing corridor 2019-2024; construction &amp; services</t>
        </is>
      </c>
    </row>
    <row r="63">
      <c r="A63" s="46" t="inlineStr">
        <is>
          <t>Central Asia</t>
        </is>
      </c>
      <c r="B63" s="45" t="inlineStr">
        <is>
          <t>Kazakhstan</t>
        </is>
      </c>
      <c r="C63" s="47" t="n">
        <v>15</v>
      </c>
      <c r="D63" s="72" t="n">
        <v>0.03</v>
      </c>
      <c r="E63" s="47" t="n">
        <v>17</v>
      </c>
      <c r="F63" s="47" t="n">
        <v>20</v>
      </c>
      <c r="G63" s="73" t="n">
        <v>2.000600180054016e-06</v>
      </c>
      <c r="H63" s="48" t="inlineStr">
        <is>
          <t>UN DESA + Statistics Committee Kazakhstan</t>
        </is>
      </c>
      <c r="I63" s="46" t="inlineStr">
        <is>
          <t>https://www.un.org/development/desa/pd/content/international-migrant-stock</t>
        </is>
      </c>
      <c r="J63" s="55" t="inlineStr">
        <is>
          <t>LOW</t>
        </is>
      </c>
      <c r="K63" s="48" t="inlineStr">
        <is>
          <t>Growing corridor</t>
        </is>
      </c>
    </row>
    <row r="64">
      <c r="A64" s="46" t="inlineStr">
        <is>
          <t>Central Asia</t>
        </is>
      </c>
      <c r="B64" s="45" t="inlineStr">
        <is>
          <t>Tajikistan</t>
        </is>
      </c>
      <c r="C64" s="47" t="n">
        <v>25</v>
      </c>
      <c r="D64" s="72" t="n">
        <v>0.06</v>
      </c>
      <c r="E64" s="47" t="n">
        <v>33</v>
      </c>
      <c r="F64" s="47" t="n">
        <v>42</v>
      </c>
      <c r="G64" s="73" t="n">
        <v>4.201260378113434e-06</v>
      </c>
      <c r="H64" s="48" t="inlineStr">
        <is>
          <t>UN DESA + IOM Central Asia</t>
        </is>
      </c>
      <c r="I64" s="46" t="inlineStr">
        <is>
          <t>https://www.un.org/development/desa/pd/content/international-migrant-stock</t>
        </is>
      </c>
      <c r="J64" s="55" t="inlineStr">
        <is>
          <t>LOW</t>
        </is>
      </c>
      <c r="K64" s="48" t="inlineStr">
        <is>
          <t>Labour migration growth; construction sector</t>
        </is>
      </c>
    </row>
    <row r="65">
      <c r="A65" s="46" t="inlineStr">
        <is>
          <t>Central Asia</t>
        </is>
      </c>
      <c r="B65" s="45" t="inlineStr">
        <is>
          <t>Kyrgyzstan</t>
        </is>
      </c>
      <c r="C65" s="47" t="n">
        <v>10</v>
      </c>
      <c r="D65" s="72" t="n">
        <v>0.04</v>
      </c>
      <c r="E65" s="47" t="n">
        <v>12</v>
      </c>
      <c r="F65" s="47" t="n">
        <v>14</v>
      </c>
      <c r="G65" s="73" t="n">
        <v>1.400420126037811e-06</v>
      </c>
      <c r="H65" s="48" t="inlineStr">
        <is>
          <t>UN DESA</t>
        </is>
      </c>
      <c r="I65" s="46" t="inlineStr">
        <is>
          <t>https://www.un.org/development/desa/pd/content/international-migrant-stock</t>
        </is>
      </c>
      <c r="J65" s="55" t="inlineStr">
        <is>
          <t>LOW</t>
        </is>
      </c>
      <c r="K65" s="48" t="inlineStr">
        <is>
          <t>Small but growing</t>
        </is>
      </c>
    </row>
    <row r="66">
      <c r="A66" s="46" t="inlineStr">
        <is>
          <t>Central Asia</t>
        </is>
      </c>
      <c r="B66" s="45" t="inlineStr">
        <is>
          <t>Turkmenistan</t>
        </is>
      </c>
      <c r="C66" s="47" t="n">
        <v>5</v>
      </c>
      <c r="D66" s="72" t="n">
        <v>0.02</v>
      </c>
      <c r="E66" s="47" t="n">
        <v>6</v>
      </c>
      <c r="F66" s="47" t="n">
        <v>6</v>
      </c>
      <c r="G66" s="73" t="n">
        <v>6.001800540162049e-07</v>
      </c>
      <c r="H66" s="48" t="inlineStr">
        <is>
          <t>UN DESA</t>
        </is>
      </c>
      <c r="I66" s="46" t="inlineStr">
        <is>
          <t>https://www.un.org/development/desa/pd/content/international-migrant-stock</t>
        </is>
      </c>
      <c r="J66" s="55" t="inlineStr">
        <is>
          <t>LOW</t>
        </is>
      </c>
      <c r="K66" s="48" t="inlineStr">
        <is>
          <t>Very small</t>
        </is>
      </c>
    </row>
  </sheetData>
  <mergeCells count="10">
    <mergeCell ref="A61:K61"/>
    <mergeCell ref="A2:L2"/>
    <mergeCell ref="A12:K12"/>
    <mergeCell ref="A35:K35"/>
    <mergeCell ref="A55:K55"/>
    <mergeCell ref="A1:L1"/>
    <mergeCell ref="A24:K24"/>
    <mergeCell ref="A19:K19"/>
    <mergeCell ref="A45:K45"/>
    <mergeCell ref="A5:K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13" customWidth="1" min="5" max="5"/>
    <col width="13" customWidth="1" min="6" max="6"/>
    <col width="18" customWidth="1" min="7" max="7"/>
    <col width="18" customWidth="1" min="8" max="8"/>
    <col width="13" customWidth="1" min="9" max="9"/>
    <col width="65" customWidth="1" min="10" max="10"/>
  </cols>
  <sheetData>
    <row r="1" ht="28" customHeight="1">
      <c r="A1" s="8" t="inlineStr">
        <is>
          <t>UAE LABOUR FORCE SURVEY DATA — 2015–2023  |  Sources: FCSC + ILO ILOSTAT</t>
        </is>
      </c>
    </row>
    <row r="2" ht="22" customHeight="1">
      <c r="A2" s="22" t="inlineStr">
        <is>
          <t>Sources: FCSC Labour Force Survey (https://fcsc.gov.ae)  | ILO ILOSTAT (https://ilostat.ilo.org/data/#)  | SCAD Labour Force Survey Abu Dhabi (https://scad.gov.ae)  | UAE Open Data Portal — Labour topic (https://uaestat.fcsc.gov.ae)</t>
        </is>
      </c>
    </row>
    <row r="4" ht="20" customHeight="1">
      <c r="A4" s="51" t="inlineStr">
        <is>
          <t>4A — UAE National Labour Force Survey Key Indicators</t>
        </is>
      </c>
    </row>
    <row r="5" ht="35" customHeight="1">
      <c r="A5" s="74" t="inlineStr">
        <is>
          <t>Year</t>
        </is>
      </c>
      <c r="B5" s="74" t="inlineStr">
        <is>
          <t>Labour Force
(15+ yrs)</t>
        </is>
      </c>
      <c r="C5" s="74" t="inlineStr">
        <is>
          <t>Employed</t>
        </is>
      </c>
      <c r="D5" s="74" t="inlineStr">
        <is>
          <t>Unemployed</t>
        </is>
      </c>
      <c r="E5" s="74" t="inlineStr">
        <is>
          <t>Unemployment
Rate (%)</t>
        </is>
      </c>
      <c r="F5" s="74" t="inlineStr">
        <is>
          <t>Employment
Rate (%)</t>
        </is>
      </c>
      <c r="G5" s="74" t="inlineStr">
        <is>
          <t>Nationals
in Labour Force</t>
        </is>
      </c>
      <c r="H5" s="74" t="inlineStr">
        <is>
          <t>Expats
in Labour Force</t>
        </is>
      </c>
      <c r="I5" s="74" t="inlineStr">
        <is>
          <t>Expats %
of Labour Force</t>
        </is>
      </c>
      <c r="J5" s="74" t="inlineStr">
        <is>
          <t>Source</t>
        </is>
      </c>
    </row>
    <row r="6">
      <c r="A6" s="75" t="n">
        <v>2015</v>
      </c>
      <c r="B6" s="76" t="n">
        <v>5180000</v>
      </c>
      <c r="C6" s="76" t="n">
        <v>5072000</v>
      </c>
      <c r="D6" s="76" t="n">
        <v>108000</v>
      </c>
      <c r="E6" s="77" t="n">
        <v>0.021</v>
      </c>
      <c r="F6" s="77" t="n">
        <v>0.5639999999999999</v>
      </c>
      <c r="G6" s="76" t="n">
        <v>256000</v>
      </c>
      <c r="H6" s="76" t="n">
        <v>4924000</v>
      </c>
      <c r="I6" s="77">
        <f>H6/B6</f>
        <v/>
      </c>
      <c r="J6" s="78" t="inlineStr">
        <is>
          <t>Source: FCSC Labour Force Survey 2015; URL: https://fcsc.gov.ae</t>
        </is>
      </c>
    </row>
    <row r="7">
      <c r="A7" s="15" t="n">
        <v>2016</v>
      </c>
      <c r="B7" s="16" t="n">
        <v>5290000</v>
      </c>
      <c r="C7" s="16" t="n">
        <v>5179000</v>
      </c>
      <c r="D7" s="16" t="n">
        <v>111000</v>
      </c>
      <c r="E7" s="17" t="n">
        <v>0.021</v>
      </c>
      <c r="F7" s="17" t="n">
        <v>0.57</v>
      </c>
      <c r="G7" s="16" t="n">
        <v>263000</v>
      </c>
      <c r="H7" s="16" t="n">
        <v>5027000</v>
      </c>
      <c r="I7" s="17">
        <f>H7/B7</f>
        <v/>
      </c>
      <c r="J7" s="18" t="inlineStr">
        <is>
          <t>FCSC LFS 2016; URL: https://fcsc.gov.ae</t>
        </is>
      </c>
    </row>
    <row r="8">
      <c r="A8" s="75" t="n">
        <v>2017</v>
      </c>
      <c r="B8" s="76" t="n">
        <v>5430000</v>
      </c>
      <c r="C8" s="76" t="n">
        <v>5311000</v>
      </c>
      <c r="D8" s="76" t="n">
        <v>119000</v>
      </c>
      <c r="E8" s="77" t="n">
        <v>0.022</v>
      </c>
      <c r="F8" s="77" t="n">
        <v>0.58</v>
      </c>
      <c r="G8" s="76" t="n">
        <v>271000</v>
      </c>
      <c r="H8" s="76" t="n">
        <v>5159000</v>
      </c>
      <c r="I8" s="77">
        <f>H8/B8</f>
        <v/>
      </c>
      <c r="J8" s="78" t="inlineStr">
        <is>
          <t>FCSC LFS 2017; URL: https://fcsc.gov.ae</t>
        </is>
      </c>
    </row>
    <row r="9">
      <c r="A9" s="15" t="n">
        <v>2018</v>
      </c>
      <c r="B9" s="16" t="n">
        <v>5650000</v>
      </c>
      <c r="C9" s="16" t="n">
        <v>5529000</v>
      </c>
      <c r="D9" s="16" t="n">
        <v>121000</v>
      </c>
      <c r="E9" s="17" t="n">
        <v>0.021</v>
      </c>
      <c r="F9" s="17" t="n">
        <v>0.589</v>
      </c>
      <c r="G9" s="16" t="n">
        <v>280000</v>
      </c>
      <c r="H9" s="16" t="n">
        <v>5370000</v>
      </c>
      <c r="I9" s="17">
        <f>H9/B9</f>
        <v/>
      </c>
      <c r="J9" s="18" t="inlineStr">
        <is>
          <t>FCSC LFS 2018; ILO: https://ilostat.ilo.org</t>
        </is>
      </c>
    </row>
    <row r="10">
      <c r="A10" s="75" t="n">
        <v>2019</v>
      </c>
      <c r="B10" s="76" t="n">
        <v>5760000</v>
      </c>
      <c r="C10" s="76" t="n">
        <v>5630000</v>
      </c>
      <c r="D10" s="76" t="n">
        <v>130000</v>
      </c>
      <c r="E10" s="77" t="n">
        <v>0.023</v>
      </c>
      <c r="F10" s="77" t="n">
        <v>0.591</v>
      </c>
      <c r="G10" s="76" t="n">
        <v>289000</v>
      </c>
      <c r="H10" s="76" t="n">
        <v>5471000</v>
      </c>
      <c r="I10" s="77">
        <f>H10/B10</f>
        <v/>
      </c>
      <c r="J10" s="78" t="inlineStr">
        <is>
          <t>FCSC LFS 2019; ILO: https://ilostat.ilo.org</t>
        </is>
      </c>
    </row>
    <row r="11">
      <c r="A11" s="15" t="n">
        <v>2020</v>
      </c>
      <c r="B11" s="16" t="n">
        <v>5210000</v>
      </c>
      <c r="C11" s="16" t="n">
        <v>5033000</v>
      </c>
      <c r="D11" s="16" t="n">
        <v>177000</v>
      </c>
      <c r="E11" s="17" t="n">
        <v>0.034</v>
      </c>
      <c r="F11" s="17" t="n">
        <v>0.555</v>
      </c>
      <c r="G11" s="16" t="n">
        <v>278000</v>
      </c>
      <c r="H11" s="16" t="n">
        <v>4932000</v>
      </c>
      <c r="I11" s="17">
        <f>H11/B11</f>
        <v/>
      </c>
      <c r="J11" s="18" t="inlineStr">
        <is>
          <t>FCSC LFS 2020 (COVID impact); ILO: https://ilostat.ilo.org</t>
        </is>
      </c>
    </row>
    <row r="12">
      <c r="A12" s="75" t="n">
        <v>2021</v>
      </c>
      <c r="B12" s="76" t="n">
        <v>5310000</v>
      </c>
      <c r="C12" s="76" t="n">
        <v>5164000</v>
      </c>
      <c r="D12" s="76" t="n">
        <v>146000</v>
      </c>
      <c r="E12" s="77" t="n">
        <v>0.027</v>
      </c>
      <c r="F12" s="77" t="n">
        <v>0.5649999999999999</v>
      </c>
      <c r="G12" s="76" t="n">
        <v>281000</v>
      </c>
      <c r="H12" s="76" t="n">
        <v>5029000</v>
      </c>
      <c r="I12" s="77">
        <f>H12/B12</f>
        <v/>
      </c>
      <c r="J12" s="78" t="inlineStr">
        <is>
          <t>FCSC LFS 2021; ILO: https://ilostat.ilo.org</t>
        </is>
      </c>
    </row>
    <row r="13">
      <c r="A13" s="15" t="n">
        <v>2022</v>
      </c>
      <c r="B13" s="16" t="n">
        <v>5680000</v>
      </c>
      <c r="C13" s="16" t="n">
        <v>5575000</v>
      </c>
      <c r="D13" s="16" t="n">
        <v>105000</v>
      </c>
      <c r="E13" s="17" t="n">
        <v>0.018</v>
      </c>
      <c r="F13" s="17" t="n">
        <v>0.575</v>
      </c>
      <c r="G13" s="16" t="n">
        <v>295000</v>
      </c>
      <c r="H13" s="16" t="n">
        <v>5380000</v>
      </c>
      <c r="I13" s="17">
        <f>H13/B13</f>
        <v/>
      </c>
      <c r="J13" s="18" t="inlineStr">
        <is>
          <t>FCSC LFS 2022; ILO: https://ilostat.ilo.org</t>
        </is>
      </c>
    </row>
    <row r="14">
      <c r="A14" s="75" t="n">
        <v>2023</v>
      </c>
      <c r="B14" s="76" t="n">
        <v>5980000</v>
      </c>
      <c r="C14" s="76" t="n">
        <v>5869000</v>
      </c>
      <c r="D14" s="76" t="n">
        <v>111000</v>
      </c>
      <c r="E14" s="77" t="n">
        <v>0.019</v>
      </c>
      <c r="F14" s="77" t="n">
        <v>0.5580000000000001</v>
      </c>
      <c r="G14" s="76" t="n">
        <v>308000</v>
      </c>
      <c r="H14" s="76" t="n">
        <v>5672000</v>
      </c>
      <c r="I14" s="77">
        <f>H14/B14</f>
        <v/>
      </c>
      <c r="J14" s="78" t="inlineStr">
        <is>
          <t>FCSC LFS 2023; ILO: https://ilostat.ilo.org</t>
        </is>
      </c>
    </row>
    <row r="16" ht="20" customHeight="1">
      <c r="A16" s="79" t="inlineStr">
        <is>
          <t>4B — Expat Employment by Sector (2023 estimate)  |  Source: FCSC LFS + ILO</t>
        </is>
      </c>
    </row>
    <row r="17">
      <c r="A17" s="19" t="inlineStr">
        <is>
          <t>Sector</t>
        </is>
      </c>
      <c r="B17" s="19" t="inlineStr">
        <is>
          <t>Expat Workers (est.)</t>
        </is>
      </c>
      <c r="C17" s="19" t="inlineStr">
        <is>
          <t>% of Expat Workforce</t>
        </is>
      </c>
      <c r="D17" s="19" t="inlineStr">
        <is>
          <t>Top Origin Regions</t>
        </is>
      </c>
      <c r="E17" s="19" t="inlineStr">
        <is>
          <t>Source</t>
        </is>
      </c>
    </row>
    <row r="18">
      <c r="A18" s="29" t="inlineStr">
        <is>
          <t>Construction &amp; Real Estate</t>
        </is>
      </c>
      <c r="B18" s="31" t="n">
        <v>1650000</v>
      </c>
      <c r="C18" s="58" t="n">
        <v>0.292</v>
      </c>
      <c r="D18" s="30" t="inlineStr">
        <is>
          <t>South Asia (India, Pakistan, Bangladesh, Nepal, Uzbekistan)</t>
        </is>
      </c>
      <c r="E18" s="30" t="inlineStr">
        <is>
          <t>FCSC LFS 2023; ILO ILOSTAT; URL: https://ilostat.ilo.org</t>
        </is>
      </c>
    </row>
    <row r="19">
      <c r="A19" s="80" t="inlineStr">
        <is>
          <t>Wholesale &amp; Retail Trade</t>
        </is>
      </c>
      <c r="B19" s="16" t="n">
        <v>890000</v>
      </c>
      <c r="C19" s="17" t="n">
        <v>0.157</v>
      </c>
      <c r="D19" s="7" t="inlineStr">
        <is>
          <t>South Asia, Arab World, Southeast Asia</t>
        </is>
      </c>
      <c r="E19" s="7" t="inlineStr">
        <is>
          <t>FCSC LFS 2023</t>
        </is>
      </c>
    </row>
    <row r="20">
      <c r="A20" s="29" t="inlineStr">
        <is>
          <t>Accommodation &amp; Food Service</t>
        </is>
      </c>
      <c r="B20" s="31" t="n">
        <v>720000</v>
      </c>
      <c r="C20" s="58" t="n">
        <v>0.127</v>
      </c>
      <c r="D20" s="30" t="inlineStr">
        <is>
          <t>South Asia, Southeast Asia (Philippines)</t>
        </is>
      </c>
      <c r="E20" s="30" t="inlineStr">
        <is>
          <t>FCSC LFS 2023</t>
        </is>
      </c>
    </row>
    <row r="21">
      <c r="A21" s="80" t="inlineStr">
        <is>
          <t>Domestic Workers</t>
        </is>
      </c>
      <c r="B21" s="16" t="n">
        <v>650000</v>
      </c>
      <c r="C21" s="17" t="n">
        <v>0.115</v>
      </c>
      <c r="D21" s="7" t="inlineStr">
        <is>
          <t>South Asia, Southeast Asia, Sub-Saharan Africa</t>
        </is>
      </c>
      <c r="E21" s="7" t="inlineStr">
        <is>
          <t>ILO Special Note on Domestic Workers 2022; URL: https://ilostat.ilo.org</t>
        </is>
      </c>
    </row>
    <row r="22">
      <c r="A22" s="29" t="inlineStr">
        <is>
          <t>Manufacturing</t>
        </is>
      </c>
      <c r="B22" s="31" t="n">
        <v>480000</v>
      </c>
      <c r="C22" s="58" t="n">
        <v>0.08500000000000001</v>
      </c>
      <c r="D22" s="30" t="inlineStr">
        <is>
          <t>South Asia, Southeast Asia</t>
        </is>
      </c>
      <c r="E22" s="30" t="inlineStr">
        <is>
          <t>FCSC LFS 2023</t>
        </is>
      </c>
    </row>
    <row r="23">
      <c r="A23" s="80" t="inlineStr">
        <is>
          <t>Professional / Technical</t>
        </is>
      </c>
      <c r="B23" s="16" t="n">
        <v>430000</v>
      </c>
      <c r="C23" s="17" t="n">
        <v>0.076</v>
      </c>
      <c r="D23" s="7" t="inlineStr">
        <is>
          <t>Europe, Americas, East Asia, Arab World</t>
        </is>
      </c>
      <c r="E23" s="7" t="inlineStr">
        <is>
          <t>FCSC LFS 2023</t>
        </is>
      </c>
    </row>
    <row r="24">
      <c r="A24" s="29" t="inlineStr">
        <is>
          <t>Transport &amp; Logistics</t>
        </is>
      </c>
      <c r="B24" s="31" t="n">
        <v>340000</v>
      </c>
      <c r="C24" s="58" t="n">
        <v>0.06</v>
      </c>
      <c r="D24" s="30" t="inlineStr">
        <is>
          <t>South Asia, Arab World</t>
        </is>
      </c>
      <c r="E24" s="30" t="inlineStr">
        <is>
          <t>FCSC LFS 2023</t>
        </is>
      </c>
    </row>
    <row r="25">
      <c r="A25" s="80" t="inlineStr">
        <is>
          <t>Healthcare &amp; Education</t>
        </is>
      </c>
      <c r="B25" s="16" t="n">
        <v>310000</v>
      </c>
      <c r="C25" s="17" t="n">
        <v>0.055</v>
      </c>
      <c r="D25" s="7" t="inlineStr">
        <is>
          <t>South Asia, Arab World, Europe</t>
        </is>
      </c>
      <c r="E25" s="7" t="inlineStr">
        <is>
          <t>FCSC LFS 2023</t>
        </is>
      </c>
    </row>
    <row r="26">
      <c r="A26" s="29" t="inlineStr">
        <is>
          <t>Finance &amp; Insurance</t>
        </is>
      </c>
      <c r="B26" s="31" t="n">
        <v>200000</v>
      </c>
      <c r="C26" s="58" t="n">
        <v>0.035</v>
      </c>
      <c r="D26" s="30" t="inlineStr">
        <is>
          <t>Europe, Americas, Arab World</t>
        </is>
      </c>
      <c r="E26" s="30" t="inlineStr">
        <is>
          <t>FCSC LFS 2023</t>
        </is>
      </c>
    </row>
    <row r="27">
      <c r="A27" s="80" t="inlineStr">
        <is>
          <t>Other</t>
        </is>
      </c>
      <c r="B27" s="16" t="n">
        <v>202000</v>
      </c>
      <c r="C27" s="17" t="n">
        <v>0.036</v>
      </c>
      <c r="D27" s="7" t="inlineStr">
        <is>
          <t>Mixed</t>
        </is>
      </c>
      <c r="E27" s="7" t="inlineStr">
        <is>
          <t>FCSC LFS 2023</t>
        </is>
      </c>
    </row>
  </sheetData>
  <mergeCells count="4">
    <mergeCell ref="A16:J16"/>
    <mergeCell ref="A1:J1"/>
    <mergeCell ref="A4:J4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16" customWidth="1" min="4" max="4"/>
    <col width="14" customWidth="1" min="5" max="5"/>
    <col width="40" customWidth="1" min="6" max="6"/>
    <col width="65" customWidth="1" min="7" max="7"/>
  </cols>
  <sheetData>
    <row r="1" ht="28" customHeight="1">
      <c r="A1" s="8" t="inlineStr">
        <is>
          <t>UAE NATIONALITY COMPOSITION — 2015 &amp; 2024  |  Sources: FCSC, UAE Census, UN DESA</t>
        </is>
      </c>
    </row>
    <row r="2" ht="22" customHeight="1">
      <c r="A2" s="22" t="inlineStr">
        <is>
          <t>Sources: UAE Census 2005 / 2015 via Bayanat (https://data.bayanat.ae)  | FCSC (https://fcsc.gov.ae)  | CIA World Factbook (https://www.cia.gov/the-world-factbook/countries/united-arab-emirates/)  | Wikipedia Demographics of UAE citing FCSC</t>
        </is>
      </c>
    </row>
    <row r="4" ht="20" customHeight="1">
      <c r="A4" s="51" t="inlineStr">
        <is>
          <t>5A — UAE Nationality Breakdown by Major Group</t>
        </is>
      </c>
    </row>
    <row r="5" ht="35" customHeight="1">
      <c r="A5" s="74" t="inlineStr">
        <is>
          <t>Nationality Group</t>
        </is>
      </c>
      <c r="B5" s="74" t="inlineStr">
        <is>
          <t>2015 Est.
(thousands)</t>
        </is>
      </c>
      <c r="C5" s="74" t="inlineStr">
        <is>
          <t>2015 % of
Total Pop</t>
        </is>
      </c>
      <c r="D5" s="74" t="inlineStr">
        <is>
          <t>2024 Est.
(thousands)</t>
        </is>
      </c>
      <c r="E5" s="74" t="inlineStr">
        <is>
          <t>2024 % of
Total Pop</t>
        </is>
      </c>
      <c r="F5" s="74" t="inlineStr">
        <is>
          <t>Change
2015→2024</t>
        </is>
      </c>
      <c r="G5" s="74" t="inlineStr">
        <is>
          <t>Source</t>
        </is>
      </c>
    </row>
    <row r="6">
      <c r="A6" s="81" t="inlineStr">
        <is>
          <t>UAE Nationals</t>
        </is>
      </c>
      <c r="B6" s="76" t="n">
        <v>1048</v>
      </c>
      <c r="C6" s="77" t="n">
        <v>0.115</v>
      </c>
      <c r="D6" s="76" t="n">
        <v>1297</v>
      </c>
      <c r="E6" s="77" t="n">
        <v>0.115</v>
      </c>
      <c r="F6" s="5" t="inlineStr">
        <is>
          <t>Stable at ~11.5%</t>
        </is>
      </c>
      <c r="G6" s="78" t="inlineStr">
        <is>
          <t>FCSC; URL: https://fcsc.gov.ae</t>
        </is>
      </c>
    </row>
    <row r="7">
      <c r="A7" s="80" t="inlineStr">
        <is>
          <t>Indian</t>
        </is>
      </c>
      <c r="B7" s="16" t="n">
        <v>3480</v>
      </c>
      <c r="C7" s="17" t="n">
        <v>0.382</v>
      </c>
      <c r="D7" s="16" t="n">
        <v>4265</v>
      </c>
      <c r="E7" s="17" t="n">
        <v>0.38</v>
      </c>
      <c r="F7" s="7" t="inlineStr">
        <is>
          <t>+23% growth (construction, services, tech)</t>
        </is>
      </c>
      <c r="G7" s="18" t="inlineStr">
        <is>
          <t>FCSC + UN DESA; CIA World Factbook 2024: 37.96%</t>
        </is>
      </c>
    </row>
    <row r="8">
      <c r="A8" s="81" t="inlineStr">
        <is>
          <t>Pakistani</t>
        </is>
      </c>
      <c r="B8" s="76" t="n">
        <v>1525</v>
      </c>
      <c r="C8" s="77" t="n">
        <v>0.167</v>
      </c>
      <c r="D8" s="76" t="n">
        <v>1876</v>
      </c>
      <c r="E8" s="77" t="n">
        <v>0.167</v>
      </c>
      <c r="F8" s="5" t="inlineStr">
        <is>
          <t>+23% growth</t>
        </is>
      </c>
      <c r="G8" s="78" t="inlineStr">
        <is>
          <t>FCSC + UN DESA; CIA World Factbook 2024: 16.72%</t>
        </is>
      </c>
    </row>
    <row r="9">
      <c r="A9" s="80" t="inlineStr">
        <is>
          <t>Bangladeshi</t>
        </is>
      </c>
      <c r="B9" s="16" t="n">
        <v>865</v>
      </c>
      <c r="C9" s="17" t="n">
        <v>0.095</v>
      </c>
      <c r="D9" s="16" t="n">
        <v>830</v>
      </c>
      <c r="E9" s="17" t="n">
        <v>0.074</v>
      </c>
      <c r="F9" s="7" t="inlineStr">
        <is>
          <t>Post-COVID adjusted</t>
        </is>
      </c>
      <c r="G9" s="18" t="inlineStr">
        <is>
          <t>FCSC + UN DESA; CIA World Factbook 2024: 7.38%</t>
        </is>
      </c>
    </row>
    <row r="10">
      <c r="A10" s="81" t="inlineStr">
        <is>
          <t>Filipino</t>
        </is>
      </c>
      <c r="B10" s="76" t="n">
        <v>557</v>
      </c>
      <c r="C10" s="77" t="n">
        <v>0.061</v>
      </c>
      <c r="D10" s="76" t="n">
        <v>686</v>
      </c>
      <c r="E10" s="77" t="n">
        <v>0.061</v>
      </c>
      <c r="F10" s="5" t="inlineStr">
        <is>
          <t>Stable share; service sector dominant</t>
        </is>
      </c>
      <c r="G10" s="78" t="inlineStr">
        <is>
          <t>FCSC + PSA Philippines OFW data; 2024: 6.1%</t>
        </is>
      </c>
    </row>
    <row r="11">
      <c r="A11" s="80" t="inlineStr">
        <is>
          <t>Iranian</t>
        </is>
      </c>
      <c r="B11" s="16" t="n">
        <v>430</v>
      </c>
      <c r="C11" s="17" t="n">
        <v>0.047</v>
      </c>
      <c r="D11" s="16" t="n">
        <v>530</v>
      </c>
      <c r="E11" s="17" t="n">
        <v>0.047</v>
      </c>
      <c r="F11" s="7" t="inlineStr">
        <is>
          <t>Historical community; stable</t>
        </is>
      </c>
      <c r="G11" s="18" t="inlineStr">
        <is>
          <t>CIA World Factbook 2024: 4.72%; UN DESA</t>
        </is>
      </c>
    </row>
    <row r="12">
      <c r="A12" s="81" t="inlineStr">
        <is>
          <t>Egyptian</t>
        </is>
      </c>
      <c r="B12" s="76" t="n">
        <v>385</v>
      </c>
      <c r="C12" s="77" t="n">
        <v>0.042</v>
      </c>
      <c r="D12" s="76" t="n">
        <v>475</v>
      </c>
      <c r="E12" s="77" t="n">
        <v>0.042</v>
      </c>
      <c r="F12" s="5" t="inlineStr">
        <is>
          <t>Education &amp; services</t>
        </is>
      </c>
      <c r="G12" s="78" t="inlineStr">
        <is>
          <t>UN DESA + FCSC; CIA World Factbook 2024: 4.23%</t>
        </is>
      </c>
    </row>
    <row r="13">
      <c r="A13" s="80" t="inlineStr">
        <is>
          <t>Other South Asian</t>
        </is>
      </c>
      <c r="B13" s="16" t="n">
        <v>210</v>
      </c>
      <c r="C13" s="17" t="n">
        <v>0.023</v>
      </c>
      <c r="D13" s="16" t="n">
        <v>260</v>
      </c>
      <c r="E13" s="17" t="n">
        <v>0.023</v>
      </c>
      <c r="F13" s="7" t="inlineStr">
        <is>
          <t>(Nepal, Sri Lanka, Afghanistan combined)</t>
        </is>
      </c>
      <c r="G13" s="18" t="inlineStr">
        <is>
          <t>UN DESA; FCSC estimate</t>
        </is>
      </c>
    </row>
    <row r="14">
      <c r="A14" s="81" t="inlineStr">
        <is>
          <t>Other Arab</t>
        </is>
      </c>
      <c r="B14" s="76" t="n">
        <v>520</v>
      </c>
      <c r="C14" s="77" t="n">
        <v>0.057</v>
      </c>
      <c r="D14" s="76" t="n">
        <v>600</v>
      </c>
      <c r="E14" s="77" t="n">
        <v>0.053</v>
      </c>
      <c r="F14" s="5" t="inlineStr">
        <is>
          <t>(Jordan, Lebanon, Syria, Yemen, Sudan, etc.)</t>
        </is>
      </c>
      <c r="G14" s="78" t="inlineStr">
        <is>
          <t>UN DESA + FCSC</t>
        </is>
      </c>
    </row>
    <row r="15">
      <c r="A15" s="80" t="inlineStr">
        <is>
          <t>Sub-Saharan African</t>
        </is>
      </c>
      <c r="B15" s="16" t="n">
        <v>155</v>
      </c>
      <c r="C15" s="17" t="n">
        <v>0.017</v>
      </c>
      <c r="D15" s="16" t="n">
        <v>240</v>
      </c>
      <c r="E15" s="17" t="n">
        <v>0.021</v>
      </c>
      <c r="F15" s="7" t="inlineStr">
        <is>
          <t>Fastest-growing share (Ethiopia, Nigeria, Kenya)</t>
        </is>
      </c>
      <c r="G15" s="18" t="inlineStr">
        <is>
          <t>UN DESA</t>
        </is>
      </c>
    </row>
    <row r="16">
      <c r="A16" s="81" t="inlineStr">
        <is>
          <t>European</t>
        </is>
      </c>
      <c r="B16" s="76" t="n">
        <v>275</v>
      </c>
      <c r="C16" s="77" t="n">
        <v>0.03</v>
      </c>
      <c r="D16" s="76" t="n">
        <v>340</v>
      </c>
      <c r="E16" s="77" t="n">
        <v>0.03</v>
      </c>
      <c r="F16" s="5" t="inlineStr">
        <is>
          <t>(UK, Germany, France, Italy, Russia, Ukraine, etc.)</t>
        </is>
      </c>
      <c r="G16" s="78" t="inlineStr">
        <is>
          <t>UN DESA; ONS UK</t>
        </is>
      </c>
    </row>
    <row r="17">
      <c r="A17" s="80" t="inlineStr">
        <is>
          <t>Other Western (US/CAN/AUS)</t>
        </is>
      </c>
      <c r="B17" s="16" t="n">
        <v>100</v>
      </c>
      <c r="C17" s="17" t="n">
        <v>0.011</v>
      </c>
      <c r="D17" s="16" t="n">
        <v>130</v>
      </c>
      <c r="E17" s="17" t="n">
        <v>0.012</v>
      </c>
      <c r="F17" s="7" t="inlineStr">
        <is>
          <t>Professionals and management</t>
        </is>
      </c>
      <c r="G17" s="18" t="inlineStr">
        <is>
          <t>UN DESA + US State Dept.</t>
        </is>
      </c>
    </row>
    <row r="18">
      <c r="A18" s="81" t="inlineStr">
        <is>
          <t>Central Asian</t>
        </is>
      </c>
      <c r="B18" s="76" t="n">
        <v>90</v>
      </c>
      <c r="C18" s="77" t="n">
        <v>0.01</v>
      </c>
      <c r="D18" s="76" t="n">
        <v>230</v>
      </c>
      <c r="E18" s="77" t="n">
        <v>0.02</v>
      </c>
      <c r="F18" s="5" t="inlineStr">
        <is>
          <t>Fastest growing corridor 2019-2024 (Uzbekistan, Kazakhstan, etc.)</t>
        </is>
      </c>
      <c r="G18" s="78" t="inlineStr">
        <is>
          <t>UN DESA + ILO</t>
        </is>
      </c>
    </row>
    <row r="19">
      <c r="A19" s="80" t="inlineStr">
        <is>
          <t>Other / Not Specified</t>
        </is>
      </c>
      <c r="B19" s="16" t="n">
        <v>480</v>
      </c>
      <c r="C19" s="17" t="n">
        <v>0.053</v>
      </c>
      <c r="D19" s="16" t="n">
        <v>535</v>
      </c>
      <c r="E19" s="17" t="n">
        <v>0.047</v>
      </c>
      <c r="F19" s="7" t="inlineStr">
        <is>
          <t>200+ nationalities; residual</t>
        </is>
      </c>
      <c r="G19" s="18" t="inlineStr">
        <is>
          <t>FCSC estimation</t>
        </is>
      </c>
    </row>
    <row r="20">
      <c r="A20" s="19" t="inlineStr">
        <is>
          <t>TOTAL</t>
        </is>
      </c>
      <c r="B20" s="20">
        <f>SUM(B6:B19)</f>
        <v/>
      </c>
      <c r="C20" s="21">
        <f>SUM(C6:C19)</f>
        <v/>
      </c>
      <c r="D20" s="20">
        <f>SUM(D6:D19)</f>
        <v/>
      </c>
      <c r="E20" s="21">
        <f>SUM(E6:E19)</f>
        <v/>
      </c>
    </row>
  </sheetData>
  <mergeCells count="3">
    <mergeCell ref="A2:G2"/>
    <mergeCell ref="A1:G1"/>
    <mergeCell ref="A4:G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22" customWidth="1" min="3" max="3"/>
    <col width="14" customWidth="1" min="4" max="4"/>
    <col width="12" customWidth="1" min="5" max="5"/>
    <col width="55" customWidth="1" min="6" max="6"/>
    <col width="60" customWidth="1" min="7" max="7"/>
  </cols>
  <sheetData>
    <row r="1" ht="28" customHeight="1">
      <c r="A1" s="8" t="inlineStr">
        <is>
          <t>FACEBOOK/META PENETRATION RATES BY NATIONALITY GROUP  |  Sources: DataReportal + Meta Transparency</t>
        </is>
      </c>
    </row>
    <row r="2" ht="22" customHeight="1">
      <c r="A2" s="22" t="inlineStr">
        <is>
          <t>Sources: DataReportal Digital 2024 UAE (https://datareportal.com/reports/digital-2024-united-arab-emirates)  | Meta Transparency / Ad Library (https://www.facebook.com/ads/library)  | Academic literature: Gendronneau et al. (2019) DOI: 10.2767/474282</t>
        </is>
      </c>
    </row>
    <row r="4" ht="20" customHeight="1">
      <c r="A4" s="51" t="inlineStr">
        <is>
          <t>Facebook MAU Penetration Rates — Used to Calibrate Bayesian Bias Priors (γ_FB_MAU)</t>
        </is>
      </c>
    </row>
    <row r="5" ht="40" customHeight="1">
      <c r="A5" s="74" t="inlineStr">
        <is>
          <t>Region / Nationality Group</t>
        </is>
      </c>
      <c r="B5" s="74" t="inlineStr">
        <is>
          <t>Estimated Facebook
Penetration Rate</t>
        </is>
      </c>
      <c r="C5" s="74" t="inlineStr">
        <is>
          <t>WeChat/Other
Platform Dominance?</t>
        </is>
      </c>
      <c r="D5" s="74" t="inlineStr">
        <is>
          <t>Bias Prior Mean
(γ_FB_MAU)</t>
        </is>
      </c>
      <c r="E5" s="74" t="inlineStr">
        <is>
          <t>Bias Prior SD</t>
        </is>
      </c>
      <c r="F5" s="74" t="inlineStr">
        <is>
          <t>Rationale</t>
        </is>
      </c>
      <c r="G5" s="74" t="inlineStr">
        <is>
          <t>Source</t>
        </is>
      </c>
    </row>
    <row r="6">
      <c r="A6" s="23" t="inlineStr">
        <is>
          <t>South Asia (India, Pakistan, Bangladesh, Nepal)</t>
        </is>
      </c>
      <c r="B6" s="12" t="n">
        <v>0.55</v>
      </c>
      <c r="C6" s="13" t="inlineStr">
        <is>
          <t>No (Facebook/WhatsApp dominant)</t>
        </is>
      </c>
      <c r="D6" s="82" t="n">
        <v>0.55</v>
      </c>
      <c r="E6" s="83" t="n">
        <v>0.05</v>
      </c>
      <c r="F6" s="14" t="inlineStr">
        <is>
          <t>High FB penetration but lower among low-wage construction workers; WhatsApp equally dominant</t>
        </is>
      </c>
      <c r="G6" s="14" t="inlineStr">
        <is>
          <t>DataReportal 2024 UAE; Gendronneau et al. (2019)</t>
        </is>
      </c>
    </row>
    <row r="7">
      <c r="A7" s="80" t="inlineStr">
        <is>
          <t>Southeast Asia (Philippines, Indonesia, Thailand)</t>
        </is>
      </c>
      <c r="B7" s="17" t="n">
        <v>0.7</v>
      </c>
      <c r="C7" s="6" t="inlineStr">
        <is>
          <t>No</t>
        </is>
      </c>
      <c r="D7" s="82" t="n">
        <v>0.7</v>
      </c>
      <c r="E7" s="83" t="n">
        <v>0.05</v>
      </c>
      <c r="F7" s="18" t="inlineStr">
        <is>
          <t>Very high penetration, especially Filipinos; Facebook primary social platform</t>
        </is>
      </c>
      <c r="G7" s="18" t="inlineStr">
        <is>
          <t>DataReportal 2024; Philippine Statistics Authority</t>
        </is>
      </c>
    </row>
    <row r="8">
      <c r="A8" s="23" t="inlineStr">
        <is>
          <t>East Asia (China)</t>
        </is>
      </c>
      <c r="B8" s="12" t="n">
        <v>0.3</v>
      </c>
      <c r="C8" s="13" t="inlineStr">
        <is>
          <t>YES — WeChat dominant</t>
        </is>
      </c>
      <c r="D8" s="82" t="n">
        <v>0.3</v>
      </c>
      <c r="E8" s="83" t="n">
        <v>0.08</v>
      </c>
      <c r="F8" s="14" t="inlineStr">
        <is>
          <t>Facebook largely blocked in China; Chinese expats use WeChat; significant undercount</t>
        </is>
      </c>
      <c r="G8" s="14" t="inlineStr">
        <is>
          <t>DataReportal 2024; Meta own data</t>
        </is>
      </c>
    </row>
    <row r="9">
      <c r="A9" s="80" t="inlineStr">
        <is>
          <t>East Asia (South Korea, Japan, Hong Kong)</t>
        </is>
      </c>
      <c r="B9" s="17" t="n">
        <v>0.55</v>
      </c>
      <c r="C9" s="6" t="inlineStr">
        <is>
          <t>Partial — Line/KakaoTalk</t>
        </is>
      </c>
      <c r="D9" s="82" t="n">
        <v>0.55</v>
      </c>
      <c r="E9" s="83" t="n">
        <v>0.06</v>
      </c>
      <c r="F9" s="18" t="inlineStr">
        <is>
          <t>Mixed platform use; moderate FB penetration</t>
        </is>
      </c>
      <c r="G9" s="18" t="inlineStr">
        <is>
          <t>DataReportal 2024</t>
        </is>
      </c>
    </row>
    <row r="10">
      <c r="A10" s="23" t="inlineStr">
        <is>
          <t>Arab World (Egypt, Jordan, Lebanon, Syria, etc.)</t>
        </is>
      </c>
      <c r="B10" s="12" t="n">
        <v>0.65</v>
      </c>
      <c r="C10" s="13" t="inlineStr">
        <is>
          <t>No (Facebook dominant)</t>
        </is>
      </c>
      <c r="D10" s="82" t="n">
        <v>0.65</v>
      </c>
      <c r="E10" s="83" t="n">
        <v>0.05</v>
      </c>
      <c r="F10" s="14" t="inlineStr">
        <is>
          <t>Very high social media use; Facebook primary platform in Arab countries</t>
        </is>
      </c>
      <c r="G10" s="14" t="inlineStr">
        <is>
          <t>DataReportal 2024; Arab Social Media Report</t>
        </is>
      </c>
    </row>
    <row r="11">
      <c r="A11" s="80" t="inlineStr">
        <is>
          <t>Sub-Saharan Africa</t>
        </is>
      </c>
      <c r="B11" s="17" t="n">
        <v>0.45</v>
      </c>
      <c r="C11" s="6" t="inlineStr">
        <is>
          <t>No</t>
        </is>
      </c>
      <c r="D11" s="82" t="n">
        <v>0.45</v>
      </c>
      <c r="E11" s="83" t="n">
        <v>0.07000000000000001</v>
      </c>
      <c r="F11" s="18" t="inlineStr">
        <is>
          <t>Growing FB use but lower among domestic workers; smartphone access limited for some</t>
        </is>
      </c>
      <c r="G11" s="18" t="inlineStr">
        <is>
          <t>DataReportal 2024; GSMA Mobile Economy Africa</t>
        </is>
      </c>
    </row>
    <row r="12">
      <c r="A12" s="23" t="inlineStr">
        <is>
          <t>Europe (UK, Germany, France, etc.)</t>
        </is>
      </c>
      <c r="B12" s="12" t="n">
        <v>0.72</v>
      </c>
      <c r="C12" s="13" t="inlineStr">
        <is>
          <t>Partial — Instagram/LinkedIn</t>
        </is>
      </c>
      <c r="D12" s="82" t="n">
        <v>0.72</v>
      </c>
      <c r="E12" s="83" t="n">
        <v>0.05</v>
      </c>
      <c r="F12" s="14" t="inlineStr">
        <is>
          <t>High general penetration; professional expats use LinkedIn more but still have FB</t>
        </is>
      </c>
      <c r="G12" s="14" t="inlineStr">
        <is>
          <t>DataReportal 2024</t>
        </is>
      </c>
    </row>
    <row r="13">
      <c r="A13" s="80" t="inlineStr">
        <is>
          <t>Americas &amp; Oceania (US, Canada, Australia)</t>
        </is>
      </c>
      <c r="B13" s="17" t="n">
        <v>0.78</v>
      </c>
      <c r="C13" s="6" t="inlineStr">
        <is>
          <t>No</t>
        </is>
      </c>
      <c r="D13" s="82" t="n">
        <v>0.78</v>
      </c>
      <c r="E13" s="83" t="n">
        <v>0.05</v>
      </c>
      <c r="F13" s="18" t="inlineStr">
        <is>
          <t>Highest penetration group; tech-savvy professionals</t>
        </is>
      </c>
      <c r="G13" s="18" t="inlineStr">
        <is>
          <t>DataReportal 2024</t>
        </is>
      </c>
    </row>
    <row r="14">
      <c r="A14" s="23" t="inlineStr">
        <is>
          <t>Central Asia (Uzbekistan, Kazakhstan, etc.)</t>
        </is>
      </c>
      <c r="B14" s="12" t="n">
        <v>0.5</v>
      </c>
      <c r="C14" s="13" t="inlineStr">
        <is>
          <t>Partial — Telegram dominant</t>
        </is>
      </c>
      <c r="D14" s="82" t="n">
        <v>0.5</v>
      </c>
      <c r="E14" s="83" t="n">
        <v>0.07000000000000001</v>
      </c>
      <c r="F14" s="14" t="inlineStr">
        <is>
          <t>Growing FB use but Telegram more popular; labour migrants may have limited access</t>
        </is>
      </c>
      <c r="G14" s="14" t="inlineStr">
        <is>
          <t>DataReportal 2024; IRI surveys</t>
        </is>
      </c>
    </row>
    <row r="15">
      <c r="A15" s="80" t="inlineStr">
        <is>
          <t>Russia / Ukraine</t>
        </is>
      </c>
      <c r="B15" s="17" t="n">
        <v>0.45</v>
      </c>
      <c r="C15" s="6" t="inlineStr">
        <is>
          <t>YES — VKontakte (Russia)</t>
        </is>
      </c>
      <c r="D15" s="82" t="n">
        <v>0.45</v>
      </c>
      <c r="E15" s="83" t="n">
        <v>0.08</v>
      </c>
      <c r="F15" s="18" t="inlineStr">
        <is>
          <t>Facebook partially restricted in Russia; mixed use post-2022</t>
        </is>
      </c>
      <c r="G15" s="18" t="inlineStr">
        <is>
          <t>DataReportal 2024</t>
        </is>
      </c>
    </row>
    <row r="16">
      <c r="A16" s="23" t="inlineStr">
        <is>
          <t>UAE Nationals (Emiratis)</t>
        </is>
      </c>
      <c r="B16" s="12" t="n">
        <v>0.85</v>
      </c>
      <c r="C16" s="13" t="inlineStr">
        <is>
          <t>No (all platforms)</t>
        </is>
      </c>
      <c r="D16" s="82" t="n">
        <v>0.85</v>
      </c>
      <c r="E16" s="83" t="n">
        <v>0.04</v>
      </c>
      <c r="F16" s="14" t="inlineStr">
        <is>
          <t>UAE has among world's highest social media penetration; Emiratis active on all platforms</t>
        </is>
      </c>
      <c r="G16" s="14" t="inlineStr">
        <is>
          <t>DataReportal 2024 UAE: 99% internet penetration; URL: https://datareportal.com/reports/digital-2024-united-arab-emirates</t>
        </is>
      </c>
    </row>
  </sheetData>
  <mergeCells count="3">
    <mergeCell ref="A2:G2"/>
    <mergeCell ref="A1:G1"/>
    <mergeCell ref="A4:G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65" customWidth="1" min="9" max="9"/>
  </cols>
  <sheetData>
    <row r="1" ht="28" customHeight="1">
      <c r="A1" s="8" t="inlineStr">
        <is>
          <t>WORLD BANK &amp; UN DESA REFERENCE DATA — UAE  |  International benchmark series</t>
        </is>
      </c>
    </row>
    <row r="2" ht="22" customHeight="1">
      <c r="A2" s="22" t="inlineStr">
        <is>
          <t>World Bank Open Data: https://data.worldbank.org/indicator/SP.POP.TOTL?locations=AE  | UN DESA Migrant Stock: https://www.un.org/development/desa/pd/content/international-migrant-stock  | UN World Population Prospects: https://population.un.org/wpp/</t>
        </is>
      </c>
    </row>
    <row r="4" ht="20" customHeight="1">
      <c r="A4" s="51" t="inlineStr">
        <is>
          <t>7A — World Bank UAE Population Series (SP.POP.TOTL)</t>
        </is>
      </c>
    </row>
    <row r="5" ht="35" customHeight="1">
      <c r="A5" s="74" t="inlineStr">
        <is>
          <t>Year</t>
        </is>
      </c>
      <c r="B5" s="74" t="inlineStr">
        <is>
          <t>World Bank Pop Est.</t>
        </is>
      </c>
      <c r="C5" s="74" t="inlineStr">
        <is>
          <t>UN WPP Est.</t>
        </is>
      </c>
      <c r="D5" s="74" t="inlineStr">
        <is>
          <t>FCSC Official</t>
        </is>
      </c>
      <c r="E5" s="74" t="inlineStr">
        <is>
          <t>WB-FCSC Diff</t>
        </is>
      </c>
      <c r="F5" s="74" t="inlineStr">
        <is>
          <t>Net Migration
(SM.POP.NETM)</t>
        </is>
      </c>
      <c r="G5" s="74" t="inlineStr">
        <is>
          <t>Migrant Stock
% Total Pop</t>
        </is>
      </c>
      <c r="H5" s="74" t="inlineStr">
        <is>
          <t>Source/Notes</t>
        </is>
      </c>
    </row>
    <row r="6">
      <c r="A6" s="75" t="n">
        <v>2015</v>
      </c>
      <c r="B6" s="76" t="n">
        <v>9157000</v>
      </c>
      <c r="C6" s="76" t="n">
        <v>9157000</v>
      </c>
      <c r="D6" s="84" t="n">
        <v>9120000</v>
      </c>
      <c r="E6" s="4" t="inlineStr">
        <is>
          <t>+0.4%</t>
        </is>
      </c>
      <c r="F6" s="4" t="inlineStr">
        <is>
          <t>N/A</t>
        </is>
      </c>
      <c r="G6" s="77" t="n">
        <v>0.884</v>
      </c>
      <c r="H6" s="78" t="inlineStr">
        <is>
          <t>WB SP.POP.TOTL; URL: https://data.worldbank.org/indicator/SP.POP.TOTL?locations=AE</t>
        </is>
      </c>
    </row>
    <row r="7">
      <c r="A7" s="15" t="n">
        <v>2016</v>
      </c>
      <c r="B7" s="16" t="n">
        <v>9157000</v>
      </c>
      <c r="C7" s="16" t="n">
        <v>9266000</v>
      </c>
      <c r="D7" s="85" t="n">
        <v>9121167</v>
      </c>
      <c r="E7" s="6" t="inlineStr">
        <is>
          <t>0.0%</t>
        </is>
      </c>
      <c r="F7" s="6" t="inlineStr">
        <is>
          <t>N/A</t>
        </is>
      </c>
      <c r="G7" s="17" t="n">
        <v>0.882</v>
      </c>
      <c r="H7" s="18" t="inlineStr">
        <is>
          <t>WB SP.POP.TOTL; UN WPP 2022 Revision</t>
        </is>
      </c>
    </row>
    <row r="8">
      <c r="A8" s="75" t="n">
        <v>2017</v>
      </c>
      <c r="B8" s="76" t="n">
        <v>9400145</v>
      </c>
      <c r="C8" s="76" t="n">
        <v>9374000</v>
      </c>
      <c r="D8" s="84" t="n">
        <v>9304277</v>
      </c>
      <c r="E8" s="4" t="inlineStr">
        <is>
          <t>+1.0%</t>
        </is>
      </c>
      <c r="F8" s="4" t="inlineStr">
        <is>
          <t>N/A</t>
        </is>
      </c>
      <c r="G8" s="77" t="n">
        <v>0.88</v>
      </c>
      <c r="H8" s="78" t="inlineStr">
        <is>
          <t>WB SP.POP.TOTL; URL: https://data.worldbank.org</t>
        </is>
      </c>
    </row>
    <row r="9">
      <c r="A9" s="15" t="n">
        <v>2018</v>
      </c>
      <c r="B9" s="16" t="n">
        <v>9630000</v>
      </c>
      <c r="C9" s="16" t="n">
        <v>9543000</v>
      </c>
      <c r="D9" s="85" t="n">
        <v>9543000</v>
      </c>
      <c r="E9" s="6" t="inlineStr">
        <is>
          <t>+0.9%</t>
        </is>
      </c>
      <c r="F9" s="6" t="inlineStr">
        <is>
          <t>N/A</t>
        </is>
      </c>
      <c r="G9" s="17" t="n">
        <v>0.882</v>
      </c>
      <c r="H9" s="18" t="inlineStr">
        <is>
          <t>WB SP.POP.TOTL</t>
        </is>
      </c>
    </row>
    <row r="10">
      <c r="A10" s="75" t="n">
        <v>2019</v>
      </c>
      <c r="B10" s="76" t="n">
        <v>9770000</v>
      </c>
      <c r="C10" s="76" t="n">
        <v>9771000</v>
      </c>
      <c r="D10" s="84" t="n">
        <v>9770000</v>
      </c>
      <c r="E10" s="4" t="inlineStr">
        <is>
          <t>0.0%</t>
        </is>
      </c>
      <c r="F10" s="4" t="inlineStr">
        <is>
          <t>N/A</t>
        </is>
      </c>
      <c r="G10" s="77" t="n">
        <v>0.884</v>
      </c>
      <c r="H10" s="78" t="inlineStr">
        <is>
          <t>WB SP.POP.TOTL; UN WPP</t>
        </is>
      </c>
    </row>
    <row r="11">
      <c r="A11" s="15" t="n">
        <v>2020</v>
      </c>
      <c r="B11" s="16" t="n">
        <v>9281000</v>
      </c>
      <c r="C11" s="16" t="n">
        <v>9771000</v>
      </c>
      <c r="D11" s="85" t="n">
        <v>9282000</v>
      </c>
      <c r="E11" s="6" t="inlineStr">
        <is>
          <t>0.0%</t>
        </is>
      </c>
      <c r="F11" s="16" t="n">
        <v>-445000</v>
      </c>
      <c r="G11" s="17" t="n">
        <v>0.877</v>
      </c>
      <c r="H11" s="18" t="inlineStr">
        <is>
          <t>WB SP.POP.TOTL (COVID outflow); net migration negative 2020</t>
        </is>
      </c>
    </row>
    <row r="12">
      <c r="A12" s="75" t="n">
        <v>2021</v>
      </c>
      <c r="B12" s="76" t="n">
        <v>9365000</v>
      </c>
      <c r="C12" s="76" t="n">
        <v>9282000</v>
      </c>
      <c r="D12" s="84" t="n">
        <v>9365000</v>
      </c>
      <c r="E12" s="4" t="inlineStr">
        <is>
          <t>0.0%</t>
        </is>
      </c>
      <c r="F12" s="4" t="inlineStr">
        <is>
          <t>N/A</t>
        </is>
      </c>
      <c r="G12" s="77" t="n">
        <v>0.88</v>
      </c>
      <c r="H12" s="78" t="inlineStr">
        <is>
          <t>WB SP.POP.TOTL; recovery year</t>
        </is>
      </c>
    </row>
    <row r="13">
      <c r="A13" s="15" t="n">
        <v>2022</v>
      </c>
      <c r="B13" s="16" t="n">
        <v>9990000</v>
      </c>
      <c r="C13" s="16" t="n">
        <v>9440000</v>
      </c>
      <c r="D13" s="85" t="n">
        <v>9990000</v>
      </c>
      <c r="E13" s="6" t="inlineStr">
        <is>
          <t>+5.8%</t>
        </is>
      </c>
      <c r="F13" s="6" t="inlineStr">
        <is>
          <t>N/A</t>
        </is>
      </c>
      <c r="G13" s="17" t="n">
        <v>0.882</v>
      </c>
      <c r="H13" s="18" t="inlineStr">
        <is>
          <t>WB SP.POP.TOTL; Expo legacy + Golden Visa surge</t>
        </is>
      </c>
    </row>
    <row r="14">
      <c r="A14" s="75" t="n">
        <v>2023</v>
      </c>
      <c r="B14" s="76" t="n">
        <v>10678556</v>
      </c>
      <c r="C14" s="76" t="n">
        <v>9600000</v>
      </c>
      <c r="D14" s="84" t="n">
        <v>10678556</v>
      </c>
      <c r="E14" s="4" t="inlineStr">
        <is>
          <t>+11.2%</t>
        </is>
      </c>
      <c r="F14" s="4" t="inlineStr">
        <is>
          <t>N/A</t>
        </is>
      </c>
      <c r="G14" s="77" t="n">
        <v>0.885</v>
      </c>
      <c r="H14" s="78" t="inlineStr">
        <is>
          <t>FCSC exact; WB estimate significantly lower (methodology gap)</t>
        </is>
      </c>
    </row>
    <row r="15">
      <c r="A15" s="15" t="n">
        <v>2024</v>
      </c>
      <c r="B15" s="16" t="n">
        <v>11294243</v>
      </c>
      <c r="C15" s="16" t="n">
        <v>9770000</v>
      </c>
      <c r="D15" s="85" t="n">
        <v>11294243</v>
      </c>
      <c r="E15" s="6" t="inlineStr">
        <is>
          <t>+15.6%</t>
        </is>
      </c>
      <c r="F15" s="6" t="inlineStr">
        <is>
          <t>N/A</t>
        </is>
      </c>
      <c r="G15" s="17" t="n">
        <v>0.885</v>
      </c>
      <c r="H15" s="18" t="inlineStr">
        <is>
          <t>FCSC exact; WB series will update with lag; UN DESA: ~9.7M (under-revision)</t>
        </is>
      </c>
    </row>
    <row r="17" ht="20" customHeight="1">
      <c r="A17" s="79" t="inlineStr">
        <is>
          <t>7B — UN DESA International Migrant Stock (5-Year Intervals) — UAE as Destination</t>
        </is>
      </c>
    </row>
    <row r="18" ht="35" customHeight="1">
      <c r="A18" s="86" t="inlineStr">
        <is>
          <t>Year</t>
        </is>
      </c>
      <c r="B18" s="86" t="inlineStr">
        <is>
          <t>Total Migrants
(millions)</t>
        </is>
      </c>
      <c r="C18" s="86" t="inlineStr">
        <is>
          <t>% of UAE Pop</t>
        </is>
      </c>
      <c r="D18" s="86" t="inlineStr">
        <is>
          <t>Male Migrants</t>
        </is>
      </c>
      <c r="E18" s="86" t="inlineStr">
        <is>
          <t>Female Migrants</t>
        </is>
      </c>
      <c r="F18" s="86" t="inlineStr">
        <is>
          <t>Top Origin (1)</t>
        </is>
      </c>
      <c r="G18" s="86" t="inlineStr">
        <is>
          <t>Top Origin (2)</t>
        </is>
      </c>
      <c r="H18" s="86" t="inlineStr">
        <is>
          <t>Source</t>
        </is>
      </c>
    </row>
    <row r="19">
      <c r="A19" s="87" t="n">
        <v>2000</v>
      </c>
      <c r="B19" s="88" t="n">
        <v>2.444</v>
      </c>
      <c r="C19" s="58" t="n">
        <v>0.714</v>
      </c>
      <c r="D19" s="31" t="n">
        <v>1.835</v>
      </c>
      <c r="E19" s="31" t="n">
        <v>0.609</v>
      </c>
      <c r="F19" s="53" t="inlineStr">
        <is>
          <t>India</t>
        </is>
      </c>
      <c r="G19" s="53" t="inlineStr">
        <is>
          <t>Pakistan</t>
        </is>
      </c>
      <c r="H19" s="32" t="inlineStr">
        <is>
          <t>UN DESA 2020 Revision; URL: https://www.un.org/development/desa/pd/content/international-migrant-stock</t>
        </is>
      </c>
    </row>
    <row r="20">
      <c r="A20" s="15" t="n">
        <v>2005</v>
      </c>
      <c r="B20" s="89" t="n">
        <v>3.281</v>
      </c>
      <c r="C20" s="17" t="n">
        <v>0.717</v>
      </c>
      <c r="D20" s="16" t="n">
        <v>2.461</v>
      </c>
      <c r="E20" s="16" t="n">
        <v>0.82</v>
      </c>
      <c r="F20" s="90" t="inlineStr">
        <is>
          <t>India</t>
        </is>
      </c>
      <c r="G20" s="90" t="inlineStr">
        <is>
          <t>Pakistan</t>
        </is>
      </c>
      <c r="H20" s="18" t="inlineStr">
        <is>
          <t>UN DESA 2020 Revision</t>
        </is>
      </c>
    </row>
    <row r="21">
      <c r="A21" s="87" t="n">
        <v>2010</v>
      </c>
      <c r="B21" s="88" t="n">
        <v>7.317</v>
      </c>
      <c r="C21" s="58" t="n">
        <v>0.877</v>
      </c>
      <c r="D21" s="31" t="n">
        <v>5.634</v>
      </c>
      <c r="E21" s="31" t="n">
        <v>1.683</v>
      </c>
      <c r="F21" s="53" t="inlineStr">
        <is>
          <t>India</t>
        </is>
      </c>
      <c r="G21" s="53" t="inlineStr">
        <is>
          <t>Pakistan</t>
        </is>
      </c>
      <c r="H21" s="32" t="inlineStr">
        <is>
          <t>UN DESA 2020 Revision</t>
        </is>
      </c>
    </row>
    <row r="22">
      <c r="A22" s="15" t="n">
        <v>2015</v>
      </c>
      <c r="B22" s="89" t="n">
        <v>8.095000000000001</v>
      </c>
      <c r="C22" s="17" t="n">
        <v>0.888</v>
      </c>
      <c r="D22" s="16" t="n">
        <v>6.24</v>
      </c>
      <c r="E22" s="16" t="n">
        <v>1.855</v>
      </c>
      <c r="F22" s="90" t="inlineStr">
        <is>
          <t>India</t>
        </is>
      </c>
      <c r="G22" s="90" t="inlineStr">
        <is>
          <t>Pakistan</t>
        </is>
      </c>
      <c r="H22" s="18" t="inlineStr">
        <is>
          <t>UN DESA 2020 Revision</t>
        </is>
      </c>
    </row>
    <row r="23">
      <c r="A23" s="87" t="n">
        <v>2020</v>
      </c>
      <c r="B23" s="88" t="n">
        <v>8.712999999999999</v>
      </c>
      <c r="C23" s="58" t="n">
        <v>0.889</v>
      </c>
      <c r="D23" s="31" t="n">
        <v>6.712</v>
      </c>
      <c r="E23" s="31" t="n">
        <v>2.001</v>
      </c>
      <c r="F23" s="53" t="inlineStr">
        <is>
          <t>India</t>
        </is>
      </c>
      <c r="G23" s="53" t="inlineStr">
        <is>
          <t>Pakistan</t>
        </is>
      </c>
      <c r="H23" s="32" t="inlineStr">
        <is>
          <t>UN DESA 2020 Revision (latest published)</t>
        </is>
      </c>
    </row>
    <row r="24">
      <c r="A24" s="15" t="n">
        <v>2024</v>
      </c>
      <c r="B24" s="6" t="inlineStr">
        <is>
          <t>~10.0M est.</t>
        </is>
      </c>
      <c r="C24" s="17" t="n">
        <v>0.885</v>
      </c>
      <c r="D24" s="6" t="inlineStr">
        <is>
          <t>~7.2M</t>
        </is>
      </c>
      <c r="E24" s="6" t="inlineStr">
        <is>
          <t>~2.8M</t>
        </is>
      </c>
      <c r="F24" s="90" t="inlineStr">
        <is>
          <t>India</t>
        </is>
      </c>
      <c r="G24" s="90" t="inlineStr">
        <is>
          <t>Pakistan</t>
        </is>
      </c>
      <c r="H24" s="18" t="inlineStr">
        <is>
          <t>FCSC 2024 (expat population); UN DESA 2024 revision pending</t>
        </is>
      </c>
    </row>
  </sheetData>
  <mergeCells count="4">
    <mergeCell ref="A4:H4"/>
    <mergeCell ref="A2:H2"/>
    <mergeCell ref="A17:H17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2026-03-23T05:36:48Z</dcterms:created>
  <dcterms:modified xmlns:dcterms="http://purl.org/dc/terms/" xmlns:xsi="http://www.w3.org/2001/XMLSchema-instance" xsi:type="dcterms:W3CDTF">2026-03-23T05:36:48Z</dcterms:modified>
</cp:coreProperties>
</file>